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mc:AlternateContent xmlns:mc="http://schemas.openxmlformats.org/markup-compatibility/2006">
    <mc:Choice Requires="x15">
      <x15ac:absPath xmlns:x15ac="http://schemas.microsoft.com/office/spreadsheetml/2010/11/ac" url="C:\Users\prk810496\Desktop\"/>
    </mc:Choice>
  </mc:AlternateContent>
  <xr:revisionPtr revIDLastSave="1" documentId="11_E68A2F3123532A84B0321490B73756D64952FDE2" xr6:coauthVersionLast="47" xr6:coauthVersionMax="47" xr10:uidLastSave="{7A7F297A-E1F4-466B-818F-6D8436650F52}"/>
  <bookViews>
    <workbookView xWindow="0" yWindow="0" windowWidth="20490" windowHeight="7620" firstSheet="2" activeTab="2" xr2:uid="{00000000-000D-0000-FFFF-FFFF00000000}"/>
  </bookViews>
  <sheets>
    <sheet name="A1-A7" sheetId="3" r:id="rId1"/>
    <sheet name="A8-List of Activities" sheetId="9" r:id="rId2"/>
    <sheet name="HIRA" sheetId="12" r:id="rId3"/>
  </sheets>
  <definedNames>
    <definedName name="_xlnm._FilterDatabase" localSheetId="2" hidden="1">HIRA!$B$15:$B$115</definedName>
    <definedName name="_xlnm.Print_Area" localSheetId="0">'A1-A7'!$A$1:$E$67</definedName>
    <definedName name="_xlnm.Print_Area" localSheetId="2">HIRA!$A$2:$Y$143</definedName>
    <definedName name="_xlnm.Print_Titles" localSheetId="2">HIRA!$A:$A,HIRA!$10:$13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33" i="12" l="1"/>
  <c r="Q133" i="12" s="1"/>
  <c r="P133" i="12" l="1"/>
  <c r="X132" i="12"/>
  <c r="O132" i="12"/>
  <c r="P132" i="12" s="1"/>
  <c r="Q132" i="12" l="1"/>
  <c r="X131" i="12"/>
  <c r="Y131" i="12" s="1"/>
  <c r="O131" i="12"/>
  <c r="Q131" i="12" s="1"/>
  <c r="O130" i="12"/>
  <c r="Q130" i="12" s="1"/>
  <c r="O129" i="12"/>
  <c r="Q129" i="12" s="1"/>
  <c r="O127" i="12"/>
  <c r="Q127" i="12" s="1"/>
  <c r="X23" i="12"/>
  <c r="Y23" i="12" s="1"/>
  <c r="O23" i="12"/>
  <c r="P23" i="12" s="1"/>
  <c r="P130" i="12" l="1"/>
  <c r="P131" i="12"/>
  <c r="Q23" i="12"/>
  <c r="P127" i="12"/>
  <c r="P129" i="12"/>
  <c r="O100" i="12"/>
  <c r="P100" i="12" s="1"/>
  <c r="O84" i="12"/>
  <c r="Q100" i="12" l="1"/>
  <c r="O109" i="12"/>
  <c r="P109" i="12" s="1"/>
  <c r="Q109" i="12" l="1"/>
  <c r="X99" i="12"/>
  <c r="Y99" i="12" s="1"/>
  <c r="X95" i="12"/>
  <c r="Y95" i="12" s="1"/>
  <c r="X94" i="12"/>
  <c r="O98" i="12"/>
  <c r="P98" i="12" s="1"/>
  <c r="O97" i="12"/>
  <c r="P97" i="12" s="1"/>
  <c r="O96" i="12"/>
  <c r="P96" i="12" s="1"/>
  <c r="O95" i="12"/>
  <c r="Q95" i="12" s="1"/>
  <c r="O94" i="12"/>
  <c r="P94" i="12" s="1"/>
  <c r="Q94" i="12" l="1"/>
  <c r="Q97" i="12"/>
  <c r="P95" i="12"/>
  <c r="Q98" i="12"/>
  <c r="Q96" i="12"/>
  <c r="Y94" i="12"/>
  <c r="X142" i="12"/>
  <c r="Y142" i="12" s="1"/>
  <c r="O142" i="12"/>
  <c r="Q142" i="12" s="1"/>
  <c r="X141" i="12"/>
  <c r="Y141" i="12" s="1"/>
  <c r="O141" i="12"/>
  <c r="P141" i="12" s="1"/>
  <c r="X140" i="12"/>
  <c r="Y140" i="12" s="1"/>
  <c r="O140" i="12"/>
  <c r="Q140" i="12" s="1"/>
  <c r="X139" i="12"/>
  <c r="Y139" i="12" s="1"/>
  <c r="O139" i="12"/>
  <c r="P139" i="12" s="1"/>
  <c r="X138" i="12"/>
  <c r="Y138" i="12" s="1"/>
  <c r="O138" i="12"/>
  <c r="Q138" i="12" s="1"/>
  <c r="X137" i="12"/>
  <c r="Y137" i="12" s="1"/>
  <c r="O137" i="12"/>
  <c r="P137" i="12" s="1"/>
  <c r="P138" i="12" l="1"/>
  <c r="P140" i="12"/>
  <c r="P142" i="12"/>
  <c r="Q137" i="12"/>
  <c r="Q139" i="12"/>
  <c r="Q141" i="12"/>
  <c r="O99" i="12" l="1"/>
  <c r="P99" i="12" s="1"/>
  <c r="Q99" i="12" l="1"/>
  <c r="O52" i="12"/>
  <c r="O49" i="12"/>
  <c r="O35" i="12"/>
  <c r="O29" i="12"/>
  <c r="P29" i="12" s="1"/>
  <c r="O62" i="12"/>
  <c r="O27" i="12"/>
  <c r="O25" i="12"/>
  <c r="Q25" i="12" s="1"/>
  <c r="O24" i="12"/>
  <c r="O21" i="12"/>
  <c r="Q21" i="12" s="1"/>
  <c r="O20" i="12"/>
  <c r="P20" i="12" s="1"/>
  <c r="O19" i="12"/>
  <c r="O18" i="12"/>
  <c r="O17" i="12"/>
  <c r="Q17" i="12" s="1"/>
  <c r="O16" i="12"/>
  <c r="Q16" i="12" s="1"/>
  <c r="O22" i="12"/>
  <c r="O26" i="12"/>
  <c r="P26" i="12" s="1"/>
  <c r="O28" i="12"/>
  <c r="O30" i="12"/>
  <c r="P30" i="12" s="1"/>
  <c r="O31" i="12"/>
  <c r="O32" i="12"/>
  <c r="Q32" i="12" s="1"/>
  <c r="O33" i="12"/>
  <c r="P33" i="12" s="1"/>
  <c r="O34" i="12"/>
  <c r="O36" i="12"/>
  <c r="Q36" i="12" s="1"/>
  <c r="O37" i="12"/>
  <c r="P37" i="12" s="1"/>
  <c r="O39" i="12"/>
  <c r="O40" i="12"/>
  <c r="O41" i="12"/>
  <c r="Q41" i="12" s="1"/>
  <c r="O42" i="12"/>
  <c r="P42" i="12" s="1"/>
  <c r="O43" i="12"/>
  <c r="O44" i="12"/>
  <c r="O45" i="12"/>
  <c r="Q45" i="12" s="1"/>
  <c r="O47" i="12"/>
  <c r="P47" i="12" s="1"/>
  <c r="O48" i="12"/>
  <c r="O50" i="12"/>
  <c r="Q50" i="12" s="1"/>
  <c r="O51" i="12"/>
  <c r="P51" i="12" s="1"/>
  <c r="O53" i="12"/>
  <c r="O54" i="12"/>
  <c r="Q54" i="12" s="1"/>
  <c r="O55" i="12"/>
  <c r="P55" i="12" s="1"/>
  <c r="O63" i="12"/>
  <c r="O64" i="12"/>
  <c r="Q64" i="12" s="1"/>
  <c r="O65" i="12"/>
  <c r="P65" i="12" s="1"/>
  <c r="O66" i="12"/>
  <c r="O67" i="12"/>
  <c r="O68" i="12"/>
  <c r="Q68" i="12" s="1"/>
  <c r="O69" i="12"/>
  <c r="P69" i="12" s="1"/>
  <c r="O70" i="12"/>
  <c r="O71" i="12"/>
  <c r="O72" i="12"/>
  <c r="Q72" i="12" s="1"/>
  <c r="O73" i="12"/>
  <c r="P73" i="12" s="1"/>
  <c r="O74" i="12"/>
  <c r="O75" i="12"/>
  <c r="O76" i="12"/>
  <c r="Q76" i="12" s="1"/>
  <c r="O77" i="12"/>
  <c r="P77" i="12" s="1"/>
  <c r="O78" i="12"/>
  <c r="O79" i="12"/>
  <c r="O80" i="12"/>
  <c r="Q80" i="12" s="1"/>
  <c r="O81" i="12"/>
  <c r="P81" i="12" s="1"/>
  <c r="O56" i="12"/>
  <c r="O57" i="12"/>
  <c r="O58" i="12"/>
  <c r="Q58" i="12" s="1"/>
  <c r="O59" i="12"/>
  <c r="P59" i="12" s="1"/>
  <c r="O61" i="12"/>
  <c r="O82" i="12"/>
  <c r="Q82" i="12" s="1"/>
  <c r="O83" i="12"/>
  <c r="P83" i="12" s="1"/>
  <c r="O85" i="12"/>
  <c r="O86" i="12"/>
  <c r="O87" i="12"/>
  <c r="Q87" i="12" s="1"/>
  <c r="O88" i="12"/>
  <c r="P88" i="12" s="1"/>
  <c r="O89" i="12"/>
  <c r="O91" i="12"/>
  <c r="O92" i="12"/>
  <c r="Q92" i="12" s="1"/>
  <c r="O93" i="12"/>
  <c r="P93" i="12" s="1"/>
  <c r="O101" i="12"/>
  <c r="P101" i="12" s="1"/>
  <c r="O102" i="12"/>
  <c r="Q102" i="12" s="1"/>
  <c r="O103" i="12"/>
  <c r="P103" i="12" s="1"/>
  <c r="O104" i="12"/>
  <c r="O105" i="12"/>
  <c r="Q105" i="12" s="1"/>
  <c r="O106" i="12"/>
  <c r="P106" i="12" s="1"/>
  <c r="O108" i="12"/>
  <c r="O110" i="12"/>
  <c r="Q110" i="12" s="1"/>
  <c r="O111" i="12"/>
  <c r="P111" i="12" s="1"/>
  <c r="O112" i="12"/>
  <c r="O113" i="12"/>
  <c r="P113" i="12" s="1"/>
  <c r="O114" i="12"/>
  <c r="Q114" i="12" s="1"/>
  <c r="O115" i="12"/>
  <c r="P115" i="12" s="1"/>
  <c r="P25" i="12" l="1"/>
  <c r="P72" i="12"/>
  <c r="P36" i="12"/>
  <c r="P32" i="12"/>
  <c r="P21" i="12"/>
  <c r="Q33" i="12"/>
  <c r="P114" i="12"/>
  <c r="P82" i="12"/>
  <c r="Q20" i="12"/>
  <c r="P17" i="12"/>
  <c r="Q93" i="12"/>
  <c r="Q81" i="12"/>
  <c r="Q65" i="12"/>
  <c r="P105" i="12"/>
  <c r="P92" i="12"/>
  <c r="P80" i="12"/>
  <c r="P64" i="12"/>
  <c r="P54" i="12"/>
  <c r="P50" i="12"/>
  <c r="P45" i="12"/>
  <c r="Q29" i="12"/>
  <c r="Q83" i="12"/>
  <c r="Q73" i="12"/>
  <c r="Q51" i="12"/>
  <c r="Q111" i="12"/>
  <c r="Q42" i="12"/>
  <c r="Q26" i="12"/>
  <c r="P110" i="12"/>
  <c r="P102" i="12"/>
  <c r="P87" i="12"/>
  <c r="P58" i="12"/>
  <c r="P76" i="12"/>
  <c r="P68" i="12"/>
  <c r="P41" i="12"/>
  <c r="Q113" i="12"/>
  <c r="Q106" i="12"/>
  <c r="Q103" i="12"/>
  <c r="Q88" i="12"/>
  <c r="Q59" i="12"/>
  <c r="Q77" i="12"/>
  <c r="Q69" i="12"/>
  <c r="Q55" i="12"/>
  <c r="Q47" i="12"/>
  <c r="Q37" i="12"/>
  <c r="Q30" i="12"/>
  <c r="Q112" i="12"/>
  <c r="P112" i="12"/>
  <c r="Q104" i="12"/>
  <c r="P104" i="12"/>
  <c r="Q89" i="12"/>
  <c r="P89" i="12"/>
  <c r="P86" i="12"/>
  <c r="Q86" i="12"/>
  <c r="P57" i="12"/>
  <c r="Q57" i="12"/>
  <c r="Q78" i="12"/>
  <c r="P78" i="12"/>
  <c r="P75" i="12"/>
  <c r="Q75" i="12"/>
  <c r="Q70" i="12"/>
  <c r="P70" i="12"/>
  <c r="P67" i="12"/>
  <c r="Q67" i="12"/>
  <c r="Q62" i="12"/>
  <c r="P62" i="12"/>
  <c r="P53" i="12"/>
  <c r="Q53" i="12"/>
  <c r="Q48" i="12"/>
  <c r="P48" i="12"/>
  <c r="P44" i="12"/>
  <c r="Q44" i="12"/>
  <c r="Q39" i="12"/>
  <c r="P39" i="12"/>
  <c r="P35" i="12"/>
  <c r="Q35" i="12"/>
  <c r="Q31" i="12"/>
  <c r="P31" i="12"/>
  <c r="P28" i="12"/>
  <c r="Q28" i="12"/>
  <c r="Q22" i="12"/>
  <c r="P22" i="12"/>
  <c r="P19" i="12"/>
  <c r="Q19" i="12"/>
  <c r="Q101" i="12"/>
  <c r="Q108" i="12"/>
  <c r="P108" i="12"/>
  <c r="P91" i="12"/>
  <c r="Q91" i="12"/>
  <c r="Q85" i="12"/>
  <c r="P85" i="12"/>
  <c r="P61" i="12"/>
  <c r="Q61" i="12"/>
  <c r="Q56" i="12"/>
  <c r="P56" i="12"/>
  <c r="P79" i="12"/>
  <c r="Q79" i="12"/>
  <c r="Q74" i="12"/>
  <c r="P74" i="12"/>
  <c r="P71" i="12"/>
  <c r="Q71" i="12"/>
  <c r="Q66" i="12"/>
  <c r="P66" i="12"/>
  <c r="P63" i="12"/>
  <c r="Q63" i="12"/>
  <c r="Q52" i="12"/>
  <c r="P52" i="12"/>
  <c r="P49" i="12"/>
  <c r="Q49" i="12"/>
  <c r="Q43" i="12"/>
  <c r="P43" i="12"/>
  <c r="P40" i="12"/>
  <c r="Q40" i="12"/>
  <c r="Q34" i="12"/>
  <c r="P34" i="12"/>
  <c r="Q27" i="12"/>
  <c r="P27" i="12"/>
  <c r="P24" i="12"/>
  <c r="Q24" i="12"/>
  <c r="Q18" i="12"/>
  <c r="P18" i="12"/>
  <c r="Q115" i="12"/>
  <c r="P16" i="12"/>
  <c r="O15" i="12" l="1"/>
  <c r="Q15" i="12" s="1"/>
  <c r="Y17" i="12" l="1"/>
  <c r="Y18" i="12"/>
  <c r="Y19" i="12"/>
  <c r="Y20" i="12"/>
  <c r="Y21" i="12"/>
  <c r="Y22" i="12"/>
  <c r="Y24" i="12"/>
  <c r="Y25" i="12"/>
  <c r="Y26" i="12"/>
  <c r="Y27" i="12"/>
  <c r="Y28" i="12"/>
  <c r="Y29" i="12"/>
  <c r="Y30" i="12"/>
  <c r="Y31" i="12"/>
  <c r="Y32" i="12"/>
  <c r="Y33" i="12"/>
  <c r="Y34" i="12"/>
  <c r="Y35" i="12"/>
  <c r="Y36" i="12"/>
  <c r="Y37" i="12"/>
  <c r="Y39" i="12"/>
  <c r="Y40" i="12"/>
  <c r="Y41" i="12"/>
  <c r="Y42" i="12"/>
  <c r="Y43" i="12"/>
  <c r="Y44" i="12"/>
  <c r="Y45" i="12"/>
  <c r="Y47" i="12"/>
  <c r="Y48" i="12"/>
  <c r="Y49" i="12"/>
  <c r="Y50" i="12"/>
  <c r="Y51" i="12"/>
  <c r="Y52" i="12"/>
  <c r="Y53" i="12"/>
  <c r="Y54" i="12"/>
  <c r="Y55" i="12"/>
  <c r="Y62" i="12"/>
  <c r="Y63" i="12"/>
  <c r="Y64" i="12"/>
  <c r="Y65" i="12"/>
  <c r="Y66" i="12"/>
  <c r="Y67" i="12"/>
  <c r="Y68" i="12"/>
  <c r="Y69" i="12"/>
  <c r="Y70" i="12"/>
  <c r="Y71" i="12"/>
  <c r="Y72" i="12"/>
  <c r="Y73" i="12"/>
  <c r="Y74" i="12"/>
  <c r="Y75" i="12"/>
  <c r="Y76" i="12"/>
  <c r="Y77" i="12"/>
  <c r="Y78" i="12"/>
  <c r="Y79" i="12"/>
  <c r="Y80" i="12"/>
  <c r="Y81" i="12"/>
  <c r="Y56" i="12"/>
  <c r="Y57" i="12"/>
  <c r="Y58" i="12"/>
  <c r="Y59" i="12"/>
  <c r="Y61" i="12"/>
  <c r="Y82" i="12"/>
  <c r="Y83" i="12"/>
  <c r="Y85" i="12"/>
  <c r="Y86" i="12"/>
  <c r="Y87" i="12"/>
  <c r="Y88" i="12"/>
  <c r="Y89" i="12"/>
  <c r="Y91" i="12"/>
  <c r="Y92" i="12"/>
  <c r="Y93" i="12"/>
  <c r="P15" i="12" l="1"/>
  <c r="Y16" i="12" l="1"/>
  <c r="Y15" i="12"/>
</calcChain>
</file>

<file path=xl/sharedStrings.xml><?xml version="1.0" encoding="utf-8"?>
<sst xmlns="http://schemas.openxmlformats.org/spreadsheetml/2006/main" count="1180" uniqueCount="442">
  <si>
    <t xml:space="preserve">A.1 TYPE OF OHS HAZARD   </t>
  </si>
  <si>
    <t xml:space="preserve">            (Indicative list, not exhaustive only for reference)</t>
  </si>
  <si>
    <t>SN</t>
  </si>
  <si>
    <t>Type of OHS Hazard</t>
  </si>
  <si>
    <t xml:space="preserve">Description of Hazard </t>
  </si>
  <si>
    <t>Gravity</t>
  </si>
  <si>
    <t xml:space="preserve"> Fall, slip, trip, overturning of machine, trollies </t>
  </si>
  <si>
    <t>Machinery / Tool</t>
  </si>
  <si>
    <t>Moving parts, sharp edge, breakage or shock loading, flying objects, inadequate guards on machine, vibration</t>
  </si>
  <si>
    <t>Ergonomic</t>
  </si>
  <si>
    <t>Lifting, carrying, lowering, pulling, pushing, supporting, repetitive body movement, posture (way of working).</t>
  </si>
  <si>
    <t>Fire / Explosion</t>
  </si>
  <si>
    <t xml:space="preserve">Flammable / combustible material, gases, vapors, chemical reaction, smoke, conductive dust, static electricity, short circuit </t>
  </si>
  <si>
    <t>Electrical</t>
  </si>
  <si>
    <t xml:space="preserve">Electrical shock, defective plug / sockets / wires / cables / switches, exposed conductors, use of inappropriately rated instrument or improperly protected instruments,  </t>
  </si>
  <si>
    <t>Chemical</t>
  </si>
  <si>
    <t xml:space="preserve">Skin contact, Inhalation, Ingestion, Oxygen deficiency, Toxic gases, Spillage </t>
  </si>
  <si>
    <t>Confined Space</t>
  </si>
  <si>
    <t>Asphyxiation, explosion, restricted access</t>
  </si>
  <si>
    <t>Biological</t>
  </si>
  <si>
    <t>Pathological organisms (legionella, salmonella etc.) Biological fluids, animal bite / sting, biomedical waste</t>
  </si>
  <si>
    <t>Pressure</t>
  </si>
  <si>
    <t>Pressure vessels / plant, compressed air /gas / liquid, vacuum plant</t>
  </si>
  <si>
    <t>Radiation</t>
  </si>
  <si>
    <t>Microwave or radio frequency, ultra violet, or Infra-red, Laser, X-ray, other ionizing radiation, welding</t>
  </si>
  <si>
    <t>Vehicular</t>
  </si>
  <si>
    <t>Traffic, Mobiles (Cranes, Forklifts, Conveyor, jumbo) overturning or malfunctioning</t>
  </si>
  <si>
    <t xml:space="preserve">Heat &amp; Temperature </t>
  </si>
  <si>
    <t>Hot surface, Hot liquid, Hot gas, Flame, Deep Liquid vessels, sumps, welding spatters, cryogenic liquid</t>
  </si>
  <si>
    <t>Environmental</t>
  </si>
  <si>
    <t>Heat or Cold, extreme weather (cold, hot, wind, fog, rain etc.), noise, vibration, illumination (Low or High), exposure to dust &amp; fumes</t>
  </si>
  <si>
    <t>Natural Calamity</t>
  </si>
  <si>
    <t xml:space="preserve">Building or structure collapse, earthquake, Fire following earthquake, flooding or spillage following earthquake, flood / cloud burst cyclone / Tsunami, Lightening, Storm (dust, Tornado, avalanches) </t>
  </si>
  <si>
    <t>Demographic</t>
  </si>
  <si>
    <t xml:space="preserve">Stampede, rioting, arson, dacoit, theft, civil unrest, terrorism sabotage </t>
  </si>
  <si>
    <t>Human Factors / Behavioral issues</t>
  </si>
  <si>
    <t xml:space="preserve">Personal Factor, Behavioral, Vision, hearing, Blood pressure, Lumbago, epilepsy, joint pain, psychological, imbalances, horseplay </t>
  </si>
  <si>
    <t>A.2 DETERMINING RISK LIKELIHOOD</t>
  </si>
  <si>
    <t>Parameter</t>
  </si>
  <si>
    <t>Description</t>
  </si>
  <si>
    <t>Score</t>
  </si>
  <si>
    <t>Likelihood of Occurrence of Hazardous event</t>
  </si>
  <si>
    <t xml:space="preserve">Rare. </t>
  </si>
  <si>
    <t>Very low chance of occurrence</t>
  </si>
  <si>
    <t xml:space="preserve">Occasional </t>
  </si>
  <si>
    <t>Has / Can happen once in 3 years</t>
  </si>
  <si>
    <t xml:space="preserve">Probable </t>
  </si>
  <si>
    <t>Has / Can happen once in a year</t>
  </si>
  <si>
    <t xml:space="preserve">Frequent   </t>
  </si>
  <si>
    <t>Has / Can happen several times in a year.</t>
  </si>
  <si>
    <t>A.3-DETERMINING SCALE OF RISK</t>
  </si>
  <si>
    <t>Scale of Risk</t>
  </si>
  <si>
    <t>Only the work area</t>
  </si>
  <si>
    <t>Examples; Welding Area, Grinding Area, Machine area</t>
  </si>
  <si>
    <t xml:space="preserve">Within SHOP Area </t>
  </si>
  <si>
    <t>Entire shop shed, adjoining machines, process or part of, is affected.</t>
  </si>
  <si>
    <t xml:space="preserve">Within Plant Boundary </t>
  </si>
  <si>
    <t>Entire plant gets affected. Loss of production for many days.</t>
  </si>
  <si>
    <t xml:space="preserve">Outside Plant Boundary  </t>
  </si>
  <si>
    <t xml:space="preserve">The external population and organizational reputation may get affected </t>
  </si>
  <si>
    <t>A.4 DETERMINING LEVEL OF HARM</t>
  </si>
  <si>
    <t>LEVEL OF HARM</t>
  </si>
  <si>
    <t>PEOPLE</t>
  </si>
  <si>
    <t>ASSET OR ENVIRONMENTAL DAMAGE</t>
  </si>
  <si>
    <t>EXPOSURE LEVEL</t>
  </si>
  <si>
    <t>SCORE</t>
  </si>
  <si>
    <t xml:space="preserve">Insignificant </t>
  </si>
  <si>
    <t>Momentary Discomfort / inconvenience / Minor near miss case</t>
  </si>
  <si>
    <t>No damage</t>
  </si>
  <si>
    <t>Below prescribed Standards</t>
  </si>
  <si>
    <t xml:space="preserve">Harmful </t>
  </si>
  <si>
    <t>Minor Health Effects / First Aid Case</t>
  </si>
  <si>
    <t>Moderate damage</t>
  </si>
  <si>
    <t>Equal or above than prescribed Standards;however &lt;10%</t>
  </si>
  <si>
    <t xml:space="preserve">Very Harmful </t>
  </si>
  <si>
    <t>Medical Treatment Case / Restricted Work Case / Lost Time Injury / HIPO</t>
  </si>
  <si>
    <t>Severe damages</t>
  </si>
  <si>
    <t>Above than prescribed Standards;however  within 10% - 30%</t>
  </si>
  <si>
    <t xml:space="preserve">Extremely Harmful </t>
  </si>
  <si>
    <t>Fatal / Permanent Disability / chronic diseases or notifiable diseases. Major incidents involving large number of people</t>
  </si>
  <si>
    <t>Annihilation (complete destruction)</t>
  </si>
  <si>
    <t>Above than prescribed Standards;AND &gt; 50%, leading to chronic notifiable disease</t>
  </si>
  <si>
    <t>A.5 DETERMINING NUMBER OF PEOPLE AFFECTED</t>
  </si>
  <si>
    <t>No. of people affected</t>
  </si>
  <si>
    <t>0-2</t>
  </si>
  <si>
    <t>11 – 100</t>
  </si>
  <si>
    <t>101 - Above</t>
  </si>
  <si>
    <t>A.6 RISK LEVELS BASED ON RISK PRIORITY NUMBER (RPN)</t>
  </si>
  <si>
    <t>Risk Level</t>
  </si>
  <si>
    <t>RISK PRIORY NUMBER</t>
  </si>
  <si>
    <t xml:space="preserve">Trivial </t>
  </si>
  <si>
    <t xml:space="preserve">Acceptable Risk              </t>
  </si>
  <si>
    <t>16 to 36</t>
  </si>
  <si>
    <t xml:space="preserve">Tolerable </t>
  </si>
  <si>
    <t>37 to 72</t>
  </si>
  <si>
    <t xml:space="preserve">Moderate </t>
  </si>
  <si>
    <t xml:space="preserve">    Unacceptable Risk </t>
  </si>
  <si>
    <t>73 to 130</t>
  </si>
  <si>
    <t xml:space="preserve">Substantial </t>
  </si>
  <si>
    <t>131 to 250</t>
  </si>
  <si>
    <t xml:space="preserve">Intolerable </t>
  </si>
  <si>
    <t>251 to 625</t>
  </si>
  <si>
    <t xml:space="preserve">A.7 LEVEL OF RISKS </t>
  </si>
  <si>
    <t>Action and Time Scale</t>
  </si>
  <si>
    <t>TRIVIAL</t>
  </si>
  <si>
    <t>No action is required and no documentary record needs to be kept.</t>
  </si>
  <si>
    <t>TOLERABLE</t>
  </si>
  <si>
    <t>No additional controls are required. Consideration may be given to an effective solution. Monitoring is required to ensure that the controls are maintained.</t>
  </si>
  <si>
    <t>MODERATE</t>
  </si>
  <si>
    <t>Efforts should be made to reduce the risk to acceptable risk level by using hierarchy of controls.</t>
  </si>
  <si>
    <t>SUBSTANTIAL</t>
  </si>
  <si>
    <t>Work should not be started until the risk has been reduced. Considerable resources may have to be allocated to reduce the risk where the risk involves work in progress, urgent action should be taken.</t>
  </si>
  <si>
    <t>INTOLERABLE</t>
  </si>
  <si>
    <t>Work should not be started or continued until the risk has been reduced. If it is not possible to reduce risk even with unlimited resources, work has to remain prohibited.</t>
  </si>
  <si>
    <t>List of Activities
(In Operational sequence)</t>
  </si>
  <si>
    <t>Format No.</t>
  </si>
  <si>
    <t>Rev.No.</t>
  </si>
  <si>
    <t>Rev. Date / Month</t>
  </si>
  <si>
    <t>Division :</t>
  </si>
  <si>
    <t>Shop / Area :</t>
  </si>
  <si>
    <t>S. No.</t>
  </si>
  <si>
    <t>Area / Zone</t>
  </si>
  <si>
    <t>Specific 
 Location</t>
  </si>
  <si>
    <t>Activities ( In operational  Sequence)</t>
  </si>
  <si>
    <t>Routine
( R )</t>
  </si>
  <si>
    <t>Non Routine
 ( NR )</t>
  </si>
  <si>
    <t>Emer. Situation 
( E )</t>
  </si>
  <si>
    <t>BIW</t>
  </si>
  <si>
    <t>UB &amp; MF LINE</t>
  </si>
  <si>
    <t>IT GUN</t>
  </si>
  <si>
    <t xml:space="preserve"> R</t>
  </si>
  <si>
    <t>UB, MF and Slat</t>
  </si>
  <si>
    <t>Sealant Pump</t>
  </si>
  <si>
    <t>#490</t>
  </si>
  <si>
    <t>Number Punching machine</t>
  </si>
  <si>
    <t>Nugget testing machine</t>
  </si>
  <si>
    <t>#60,#80,#140,#150,#160,#170,#220,#240,#340,#370#400,#410,#420,#450 and #470</t>
  </si>
  <si>
    <t>Geo Fixtures</t>
  </si>
  <si>
    <t>PRB</t>
  </si>
  <si>
    <t>UB, MF and SUB assly LINE</t>
  </si>
  <si>
    <t>Cooling water</t>
  </si>
  <si>
    <t>EMS</t>
  </si>
  <si>
    <t>PARI-EMS carrier</t>
  </si>
  <si>
    <t>SLAT and Rework</t>
  </si>
  <si>
    <t>Dent Puller Machine</t>
  </si>
  <si>
    <t>#220,#320 &amp; #450</t>
  </si>
  <si>
    <t>Scissor lift</t>
  </si>
  <si>
    <t>Cooling tower</t>
  </si>
  <si>
    <t>Chemical Dosing</t>
  </si>
  <si>
    <t>SLAT conveyor</t>
  </si>
  <si>
    <t>Slat Conveyor</t>
  </si>
  <si>
    <t>#200,#500, Sub assly</t>
  </si>
  <si>
    <t>Fume Extractor</t>
  </si>
  <si>
    <t>UB , MF LINE &amp; hemming</t>
  </si>
  <si>
    <t>Robot cell/Hemming Cell</t>
  </si>
  <si>
    <t>E</t>
  </si>
  <si>
    <t>Slat</t>
  </si>
  <si>
    <t>Nut  runner</t>
  </si>
  <si>
    <t>Stahl crane</t>
  </si>
  <si>
    <t>Robot cells</t>
  </si>
  <si>
    <t>Tip dressor</t>
  </si>
  <si>
    <t>Pneumatic Hoist</t>
  </si>
  <si>
    <t>Blower1, 2, 3</t>
  </si>
  <si>
    <t>Blower</t>
  </si>
  <si>
    <t>R</t>
  </si>
  <si>
    <t>#10,#270,#280,#540</t>
  </si>
  <si>
    <t>ATS Lifters</t>
  </si>
  <si>
    <t>Store area</t>
  </si>
  <si>
    <t>Dock Levler</t>
  </si>
  <si>
    <t>Chery Picker</t>
  </si>
  <si>
    <t>MLDP,PLC panels</t>
  </si>
  <si>
    <t>Electrical Panels</t>
  </si>
  <si>
    <t>Weld Checker</t>
  </si>
  <si>
    <t>MFDC Gun</t>
  </si>
  <si>
    <t>NR</t>
  </si>
  <si>
    <t>Portable power equipments</t>
  </si>
  <si>
    <t>Prepared By</t>
  </si>
  <si>
    <t>Reviewed By</t>
  </si>
  <si>
    <t>Approved By</t>
  </si>
  <si>
    <t>Revision No.</t>
  </si>
  <si>
    <t>Date</t>
  </si>
  <si>
    <t>Name</t>
  </si>
  <si>
    <t>Signature</t>
  </si>
  <si>
    <t>Guidelines :-</t>
  </si>
  <si>
    <t>1. Activities shall be listed as per the secquence of production activities ( Process Flow ) only.</t>
  </si>
  <si>
    <t>2. Sheparate sheets can  be used for different group of activitities of a particular area eg - mechenical line, sealer line , paint kitchen , maintenance , dock operations, break down etc.</t>
  </si>
  <si>
    <t>3. Any sub assembly or parellel activities shall be taken care.</t>
  </si>
  <si>
    <t>4. House keeping,office activities, Shut down activities, off line activities shall be taken care.</t>
  </si>
  <si>
    <t>5. Activities of Visitors, contractors  or vendor shall be taken care as appropriate.</t>
  </si>
  <si>
    <t>6. Focus shall be on non routine activities as they missed normally.</t>
  </si>
  <si>
    <t>A-9 - HIRA FORMAT</t>
  </si>
  <si>
    <t xml:space="preserve">Team Members </t>
  </si>
  <si>
    <t>Name :</t>
  </si>
  <si>
    <t>Madhu H B, Giriraj Patil,Pavan R Kulkarni, Vishwanath U</t>
  </si>
  <si>
    <t>Doc. No</t>
  </si>
  <si>
    <t>HIRA BIW MAINTENANCE</t>
  </si>
  <si>
    <t>Prepared By Process Owner:</t>
  </si>
  <si>
    <t>Pavan R Kulkarni</t>
  </si>
  <si>
    <t xml:space="preserve">Div/Dept/Section: </t>
  </si>
  <si>
    <t>BIW Maintenance</t>
  </si>
  <si>
    <t>Reviewed By FIC / SIC / DEPT. Coordinator:</t>
  </si>
  <si>
    <t>Name &amp; Sign :</t>
  </si>
  <si>
    <t>Date:</t>
  </si>
  <si>
    <t>Approved By FIC / SIC / DEPT. Head:</t>
  </si>
  <si>
    <t>MAXIM Q</t>
  </si>
  <si>
    <t>Process / Activity : BIW MAINTENANCE</t>
  </si>
  <si>
    <t>ACTIVITY / SUB ACTIVITIES EQUIPMENT / CHEMICAL</t>
  </si>
  <si>
    <t>OHS HAZARD IDENTIFICATION</t>
  </si>
  <si>
    <t>RISK ASSESSMENT</t>
  </si>
  <si>
    <t>RISK CONTROL MEASURES</t>
  </si>
  <si>
    <t xml:space="preserve"> RESIDUAL RISK ASSESSMENT</t>
  </si>
  <si>
    <t>Type of OHS Hazard (A.1)</t>
  </si>
  <si>
    <t>Description of OHS Hazard (A.1)</t>
  </si>
  <si>
    <t>Who may get affected or exposed (Emp / Public or Both)</t>
  </si>
  <si>
    <t>Injury/
ill health</t>
  </si>
  <si>
    <t>Condition</t>
  </si>
  <si>
    <r>
      <t xml:space="preserve">Over riding Criteria </t>
    </r>
    <r>
      <rPr>
        <sz val="9"/>
        <rFont val="Arial"/>
        <family val="2"/>
      </rPr>
      <t>(LC / DC / E)</t>
    </r>
  </si>
  <si>
    <t>Adequacy of  Risk Control Measures 
a / b / c / d / e</t>
  </si>
  <si>
    <t>Risk Assessment</t>
  </si>
  <si>
    <t xml:space="preserve">Total
RPN =           L x S
(A.6)
</t>
  </si>
  <si>
    <t xml:space="preserve">Risk
Level (A.7)
</t>
  </si>
  <si>
    <t xml:space="preserve">Is Risk Level Acceptable 
(ALARP    Y/N)
</t>
  </si>
  <si>
    <t xml:space="preserve">Additional Risk Control Measures 
Required
( In case ALARP IS NO)
</t>
  </si>
  <si>
    <t>Brief Discription of action taken</t>
  </si>
  <si>
    <r>
      <t xml:space="preserve">Risk Assessment
</t>
    </r>
    <r>
      <rPr>
        <b/>
        <i/>
        <sz val="12"/>
        <color indexed="8"/>
        <rFont val="Arial"/>
        <family val="2"/>
      </rPr>
      <t>(In case Initial Risk Level is not ALARP)</t>
    </r>
  </si>
  <si>
    <t xml:space="preserve">Total
residual RPN =           L x S
(A.6)
</t>
  </si>
  <si>
    <t xml:space="preserve">Residual Risk
Level (A.7)
</t>
  </si>
  <si>
    <t>D/I</t>
  </si>
  <si>
    <t xml:space="preserve">R / NR / </t>
  </si>
  <si>
    <t>Existing</t>
  </si>
  <si>
    <t>Gaps, if any</t>
  </si>
  <si>
    <t>LIKELIHOOD (L)</t>
  </si>
  <si>
    <t>SEVERITY (S)</t>
  </si>
  <si>
    <t>How 
Likely
(A.2)</t>
  </si>
  <si>
    <t>Scale
(A.3)</t>
  </si>
  <si>
    <t>Level of Harm
(A.4)</t>
  </si>
  <si>
    <t>No. of people affected (A.5)</t>
  </si>
  <si>
    <t>Normal Activity</t>
  </si>
  <si>
    <t>Slip of tools during IT gun tip changing</t>
  </si>
  <si>
    <t>Emp</t>
  </si>
  <si>
    <t>Injury</t>
  </si>
  <si>
    <t>D</t>
  </si>
  <si>
    <t>D. TML/DWD/BIW/MAINT/MANUAL GUNS</t>
  </si>
  <si>
    <t>1.Water sippage as stored water in the gun will be be realsed.</t>
  </si>
  <si>
    <t>Slip of tools during Tip allignment</t>
  </si>
  <si>
    <t>Slip of tools during Fixed/ moving bracket changing</t>
  </si>
  <si>
    <t>Falling from Height during Balancer replacing from gun</t>
  </si>
  <si>
    <t>E. Full body harness</t>
  </si>
  <si>
    <t>Falling of tools during Balancer replacing from gun</t>
  </si>
  <si>
    <t>Falling from Height during Gun Insulation link cut</t>
  </si>
  <si>
    <t>Slip of tools during Balancer repairing</t>
  </si>
  <si>
    <t>Stored energy during Balancer repairing</t>
  </si>
  <si>
    <t>D. LOTO</t>
  </si>
  <si>
    <t>Itching during application of chemical mixture for gun insulation</t>
  </si>
  <si>
    <t>1. Gun insulation mixture results in to itching when touched</t>
  </si>
  <si>
    <t>B. Substitiue with armor cast</t>
  </si>
  <si>
    <t>Falling of tools during Parking rope changing / parking sensor adjustment</t>
  </si>
  <si>
    <t>Slip of tools during IT gun transformer/ cylinder changing</t>
  </si>
  <si>
    <t>Electrical shocking during IT gun transformer/ cylinder changing</t>
  </si>
  <si>
    <t>Fall of transformer due to heavy weight. during IT gun transformer/ cylinder changing</t>
  </si>
  <si>
    <t>Electrical shocking during Gun boot changing</t>
  </si>
  <si>
    <t>Slip of tools during Gun boot changing</t>
  </si>
  <si>
    <t>Electrical shocking during Power cable changing.</t>
  </si>
  <si>
    <t>Skin burn during Gun handle repairing and soldering of push button</t>
  </si>
  <si>
    <t>chemical</t>
  </si>
  <si>
    <t>Exposure to chemicals during Sealant Gun replacement</t>
  </si>
  <si>
    <t>D. TML/DWD/BIW/MAINT/SEALER DISPENSING UNIT</t>
  </si>
  <si>
    <t>Oil spillage during Sealant Gun replacement</t>
  </si>
  <si>
    <t>Stored energy during Sealant Gun replacement</t>
  </si>
  <si>
    <t>Slip of tools during Sealant drum replacement</t>
  </si>
  <si>
    <t>Pneumatic Air hose abrupt movement during Sealant drum replacement</t>
  </si>
  <si>
    <t>Hand struck while Changing the number plate during trials</t>
  </si>
  <si>
    <t>D. TML/DWD/BIW/MAINT/NUMBER PUNHING MACHINE</t>
  </si>
  <si>
    <t>1. Operating value very near locking cyleder
2. Will not ensure safety of both the hands</t>
  </si>
  <si>
    <t>Start of pnching machine during hand is inside the machine</t>
  </si>
  <si>
    <t>C. Two hand safety</t>
  </si>
  <si>
    <t>Exposure to compressed air during Inspection of pneumatic circuits</t>
  </si>
  <si>
    <t>C. Valuve Near to operating area</t>
  </si>
  <si>
    <t>Hand struck during Changing the nugget plate</t>
  </si>
  <si>
    <t>d</t>
  </si>
  <si>
    <t>Sharp edges during Changing the nugget plate</t>
  </si>
  <si>
    <t>Hand struck during Replacing cylinder</t>
  </si>
  <si>
    <t>Sharp edges during Replacing cylinder</t>
  </si>
  <si>
    <t xml:space="preserve">Hand struck or cylinder clamp on hands during Part loading </t>
  </si>
  <si>
    <t>D. TML/DWD/BIW/MAINT/Geo Fixture</t>
  </si>
  <si>
    <t xml:space="preserve">Sharp edges during Part loading </t>
  </si>
  <si>
    <t>Dammage due to Filure of poke yoka functingin</t>
  </si>
  <si>
    <t>D. BIW /PY TEST</t>
  </si>
  <si>
    <t xml:space="preserve">Slip of tools during Maintenance activities like tightning, sim changing </t>
  </si>
  <si>
    <t xml:space="preserve">Sharp edges during PM activities like tightning, belt tensioning </t>
  </si>
  <si>
    <t>D. TML/DWD/BIW/MAINT/Power roller Bed</t>
  </si>
  <si>
    <t xml:space="preserve">Slip of tools during PM activities like tightning, belt tensioning </t>
  </si>
  <si>
    <t xml:space="preserve">Hand struck while closing plates during PM activities like tightning, belt tensioning </t>
  </si>
  <si>
    <t xml:space="preserve">Sharp edges during Maintenance activities water tank cleaning. </t>
  </si>
  <si>
    <t>E.Hand Glouse</t>
  </si>
  <si>
    <t xml:space="preserve">Slip of tools during Maintenance activities water tank cleaning. </t>
  </si>
  <si>
    <t>E. Hellmate</t>
  </si>
  <si>
    <t>1. Slipery floor as open to environment</t>
  </si>
  <si>
    <t xml:space="preserve">Possibility of fall of person in water tank during Maintenance activities water tank cleaning. </t>
  </si>
  <si>
    <t>Fall from height during Chemical dosing</t>
  </si>
  <si>
    <t>Flash of chemical and irritation when in contact with skin during Chemical dosing</t>
  </si>
  <si>
    <t>Exposure to chemicals during Pouring chemical in to tha tank</t>
  </si>
  <si>
    <t>E. Safety Google</t>
  </si>
  <si>
    <t>Fall of person  during Pouring chemical in to tha tank</t>
  </si>
  <si>
    <t>E. Safety Google, hand Glovse</t>
  </si>
  <si>
    <t>Sharp edges during Pouring chemical in to tha tank</t>
  </si>
  <si>
    <t>E. hand Glovse</t>
  </si>
  <si>
    <t>Slip of tools during Pouring of chemical in to the container</t>
  </si>
  <si>
    <t>A. Eliminate no tools used</t>
  </si>
  <si>
    <t>Fall of person during operation near panel</t>
  </si>
  <si>
    <t>C. Raling</t>
  </si>
  <si>
    <t>1.Raling not avalible for ladder
2. Railing not availble at starting side</t>
  </si>
  <si>
    <t>Sharp edges during Pouring of chemical in to the container</t>
  </si>
  <si>
    <t>Falling of tools during Brake releasing manually to move the trolley.</t>
  </si>
  <si>
    <t>D. TML/DWD/BIW/MAINT/Infeed and Outfeed Lifter</t>
  </si>
  <si>
    <t>Fall of person  during Brake releasing manually to move the trolley.</t>
  </si>
  <si>
    <t>Slip of tools during Brake torque setting of motor</t>
  </si>
  <si>
    <t>Falling of tools during Brake torque setting of motor</t>
  </si>
  <si>
    <t>Fall of person  during Brake torque setting of motor</t>
  </si>
  <si>
    <t xml:space="preserve">Slip of tools during Thrust bearing changing </t>
  </si>
  <si>
    <t xml:space="preserve">Fall of chain block rollers during Thrust bearing changing </t>
  </si>
  <si>
    <t>Sharp edges during Vehicle Body position adjustment</t>
  </si>
  <si>
    <t>Electrical shocking during Dent puller cable changing</t>
  </si>
  <si>
    <t>Slip of tools during Dent puller cable changing</t>
  </si>
  <si>
    <t>e</t>
  </si>
  <si>
    <t>Slip of tools during Dent puller rod changing</t>
  </si>
  <si>
    <t>Sharp edges during Dent puller rod changing</t>
  </si>
  <si>
    <t>Electrical shocking during Control card changing</t>
  </si>
  <si>
    <t>Fall of tools during Scissor lift Up/Down</t>
  </si>
  <si>
    <t>D. TML/DWD/BIW/MAINT/Scissor Lift</t>
  </si>
  <si>
    <t>Fall of person from height during Scissor lift Up/Down</t>
  </si>
  <si>
    <t>Possibility of getting struck below scissor lift during Scissor lift Up/Down</t>
  </si>
  <si>
    <t>Slip of tools during Lifter Cylinder changing</t>
  </si>
  <si>
    <t>Oli spillage during Lifter Cylinder changing</t>
  </si>
  <si>
    <t>Possibility of getting struck below scissor lift during Lifter Cylinder changing</t>
  </si>
  <si>
    <t>Sharp edges during Tightness of screws in PM</t>
  </si>
  <si>
    <t>D. TML/DWD/BIW/MAINT/ Syncronizer Unit</t>
  </si>
  <si>
    <t>Slip of tools during Tightness of screws in PM</t>
  </si>
  <si>
    <t>D. TML/DWD/BIW/MAINT/ slat conveyor</t>
  </si>
  <si>
    <t>Fall of person  during Lubrication</t>
  </si>
  <si>
    <t>1. No raling at the conveyor end</t>
  </si>
  <si>
    <t>1. No ladder facility to climb down
2. Narrrow space and open to enter from the gate location.</t>
  </si>
  <si>
    <t>Sharp edges during Filter cleaning</t>
  </si>
  <si>
    <t>Slip of tools during Filter cleaning</t>
  </si>
  <si>
    <t>Robotic cell/ Hemming Cell</t>
  </si>
  <si>
    <t>Slip of tools during Servo gun  tip changing</t>
  </si>
  <si>
    <t>Slip of tools during Servo gun Tip allignment</t>
  </si>
  <si>
    <t>Flying object from robot</t>
  </si>
  <si>
    <t>C. Fencing in the Robot zone</t>
  </si>
  <si>
    <t>1. Parts can fly and hit some one in the part loading zone</t>
  </si>
  <si>
    <t xml:space="preserve">Hit from robot during Nugget test </t>
  </si>
  <si>
    <t>D.  BIW ROB/SG/01</t>
  </si>
  <si>
    <t>cut injuries during Pit cleaning</t>
  </si>
  <si>
    <t>Slip of tools during PM activities</t>
  </si>
  <si>
    <t>Incident due to Anoouthrized entry</t>
  </si>
  <si>
    <t>C.Gate Plug</t>
  </si>
  <si>
    <t>1. Any one can enter removing the gate plug
2. Possbility of entry through panel loading area exist
3. Nearest Door not availible</t>
  </si>
  <si>
    <t>1. List of authorised person to be displayed at gate against the activity for which they are authorised.
2. Entry Door nearest to robot</t>
  </si>
  <si>
    <t>Robot Collision due to improper seating</t>
  </si>
  <si>
    <t>NA</t>
  </si>
  <si>
    <t>C. Poka yoka senosrs</t>
  </si>
  <si>
    <t>1. Bypass of poka yoka from HMI</t>
  </si>
  <si>
    <t>1. Poka yoka byapss programmed for one cycle only.</t>
  </si>
  <si>
    <t>Robot Collision due to wrong programme</t>
  </si>
  <si>
    <t>C. Poka yoka fault</t>
  </si>
  <si>
    <t>1. Bypass of poka yoka for one cycle possible
2.Zip XL Model identfication at #240,#410,#420 and #470</t>
  </si>
  <si>
    <t>Robot Collision during manual motion</t>
  </si>
  <si>
    <t>1. T2 can run when some one is inside the cell</t>
  </si>
  <si>
    <t>Accident due to teaching error</t>
  </si>
  <si>
    <t>D. BIW/ROB/SG/01</t>
  </si>
  <si>
    <t>1. Can colide in the first cycle after teaching</t>
  </si>
  <si>
    <t xml:space="preserve">Slip on floor during Sensor adjustment </t>
  </si>
  <si>
    <t>D. Claening activity</t>
  </si>
  <si>
    <t>1. Slipery surface due weld spatter depostion</t>
  </si>
  <si>
    <t>1. Contract for regular cleaning.</t>
  </si>
  <si>
    <t>Auto Tool Changer</t>
  </si>
  <si>
    <t>Accident during manual Decoupling of ATC</t>
  </si>
  <si>
    <t>Stored energy during QRC removing</t>
  </si>
  <si>
    <t>D. LOTO, EFD</t>
  </si>
  <si>
    <t>Slip of tools during Nut tightning and loosening</t>
  </si>
  <si>
    <t>Pneumatic Air hose abrupt movement during Nut tightning and loosening</t>
  </si>
  <si>
    <t>Crane</t>
  </si>
  <si>
    <t>Falling of tools during Crane using for lifting and placing frame on skid</t>
  </si>
  <si>
    <t>Falling of tools during PM activities</t>
  </si>
  <si>
    <t>Improper functining of Crane</t>
  </si>
  <si>
    <t>LC</t>
  </si>
  <si>
    <t>C.Contactor replacment
D. Inspection by compitent authority</t>
  </si>
  <si>
    <t>1. Mallfunctining of Contactors</t>
  </si>
  <si>
    <t>Fall of person  during PM activities</t>
  </si>
  <si>
    <t>D, WAH STD</t>
  </si>
  <si>
    <t>D. TML/DWD/BIW/MAINT/TIP DRESSSER</t>
  </si>
  <si>
    <t>Sharp edges during Changing of blade</t>
  </si>
  <si>
    <t>Sharp edges during Cleaning of copper chips</t>
  </si>
  <si>
    <t>cut injuries during Pick and place of the panel</t>
  </si>
  <si>
    <t>C. Hoist</t>
  </si>
  <si>
    <t>Slip of tools during Fall of loading panel</t>
  </si>
  <si>
    <t>D. TML/DWD/BIW/MAINT/knight hoist</t>
  </si>
  <si>
    <t>Pneumatic Air hose abrupt movement during Fall of loading panel</t>
  </si>
  <si>
    <t>D. TML/DWD/BIW/MAINT/knight hoist
D. Inspection by compitent authority</t>
  </si>
  <si>
    <t>Inhalation of dust during grill cleaning</t>
  </si>
  <si>
    <t>ill health</t>
  </si>
  <si>
    <t>E. Nose mask</t>
  </si>
  <si>
    <t>Getting stuck in Blower</t>
  </si>
  <si>
    <t>C. Gaurding</t>
  </si>
  <si>
    <t>Undesired movment of lifter</t>
  </si>
  <si>
    <t>C. Electronic brake relay</t>
  </si>
  <si>
    <t>1. Load arrester</t>
  </si>
  <si>
    <t>Hit during lifting</t>
  </si>
  <si>
    <t>C. Fence plug</t>
  </si>
  <si>
    <t>Shock during opeing Panel</t>
  </si>
  <si>
    <t>1. High control voltage in the operator panel</t>
  </si>
  <si>
    <t>Hydrolic Oil splash</t>
  </si>
  <si>
    <t>E. Safety Gogles</t>
  </si>
  <si>
    <t>Sharp edges during Pm activites</t>
  </si>
  <si>
    <t>E. Hand glovse, Appron</t>
  </si>
  <si>
    <t>Accicent during drving</t>
  </si>
  <si>
    <t>D.Traning and Authorization of Drivers</t>
  </si>
  <si>
    <t>Abnormal behaviour by equipment</t>
  </si>
  <si>
    <t>D. Daily maintence Check list</t>
  </si>
  <si>
    <t>Explosion of battery</t>
  </si>
  <si>
    <t>C. Went hole Availble to avoid accumlation of hydrogen gases</t>
  </si>
  <si>
    <t>Unathorised Driving</t>
  </si>
  <si>
    <t>D. Authorised Drivers list stuck on chery picker</t>
  </si>
  <si>
    <t>Shock during cleaning activity</t>
  </si>
  <si>
    <t>Burning in side the panel</t>
  </si>
  <si>
    <t>B. Identfication and substitution of combstable items. (PM 250 drives)</t>
  </si>
  <si>
    <t>Arcing due to Loose conection</t>
  </si>
  <si>
    <t>C. Theromgrphy</t>
  </si>
  <si>
    <t>hand getting stuck in between the moving and fixed arm</t>
  </si>
  <si>
    <t>BIW/ROB/SG/01</t>
  </si>
  <si>
    <t>Electrical shocking during Timer Control/ control card/ fire card/ control cable changing</t>
  </si>
  <si>
    <t>C. MCCB/RCCB for short circuit protection
D. LOTO</t>
  </si>
  <si>
    <t>1. Capacitor discharge needs 10 min time</t>
  </si>
  <si>
    <t>Short circuit</t>
  </si>
  <si>
    <t>C.ELCB for earth leakage detection</t>
  </si>
  <si>
    <t>Fly of due to rotating iteam</t>
  </si>
  <si>
    <t>D. Portable Equipment check list</t>
  </si>
  <si>
    <t>Working In B shift</t>
  </si>
  <si>
    <t>Sudden power off in B shift</t>
  </si>
  <si>
    <t>C. Emeggency Lightning system Availible (8 lights)</t>
  </si>
  <si>
    <t>Abnormal Activity</t>
  </si>
  <si>
    <t>Note: 
Gaps – Technological / Engineering /Operational / Training / Competence / Monitoring   /Safety Sinages / PPE etc.
LC – Legal Concern; DC- Domino Concern (series of accidents); E - Emergency; ALARP – As Low as Reasonably Practicable 
a-elimination, b - substitution, c - engineering control, d - signage/warning and/ or administrative control,  e - PPE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</si>
</sst>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0"/>
      <name val="Arial"/>
    </font>
    <font>
      <sz val="10"/>
      <color indexed="8"/>
      <name val="Arial"/>
      <family val="2"/>
    </font>
    <font>
      <sz val="8"/>
      <name val="Arial"/>
      <family val="2"/>
    </font>
    <font>
      <b/>
      <sz val="12"/>
      <name val="Arial"/>
      <family val="2"/>
    </font>
    <font>
      <sz val="11"/>
      <name val="Arial"/>
      <family val="2"/>
    </font>
    <font>
      <b/>
      <sz val="12"/>
      <color indexed="8"/>
      <name val="Arial"/>
      <family val="2"/>
    </font>
    <font>
      <sz val="10"/>
      <name val="Arial"/>
      <family val="2"/>
    </font>
    <font>
      <b/>
      <sz val="11"/>
      <name val="Arial"/>
      <family val="2"/>
    </font>
    <font>
      <sz val="9"/>
      <name val="Arial"/>
      <family val="2"/>
    </font>
    <font>
      <b/>
      <sz val="10"/>
      <name val="Arial"/>
      <family val="2"/>
    </font>
    <font>
      <b/>
      <i/>
      <sz val="12"/>
      <color indexed="8"/>
      <name val="Arial"/>
      <family val="2"/>
    </font>
    <font>
      <sz val="10"/>
      <name val="Calibri"/>
      <family val="2"/>
      <scheme val="minor"/>
    </font>
    <font>
      <sz val="10"/>
      <color theme="1"/>
      <name val="Calibri"/>
      <family val="2"/>
      <scheme val="minor"/>
    </font>
    <font>
      <u/>
      <sz val="11"/>
      <name val="Arial"/>
      <family val="2"/>
    </font>
    <font>
      <b/>
      <i/>
      <sz val="11"/>
      <name val="Arial"/>
      <family val="2"/>
    </font>
    <font>
      <b/>
      <sz val="11"/>
      <color rgb="FF000000"/>
      <name val="Arial"/>
      <family val="2"/>
    </font>
    <font>
      <b/>
      <sz val="22"/>
      <color theme="1"/>
      <name val="Calibri"/>
      <family val="2"/>
      <scheme val="minor"/>
    </font>
    <font>
      <b/>
      <sz val="16"/>
      <color theme="1"/>
      <name val="Calibri"/>
      <family val="2"/>
      <scheme val="minor"/>
    </font>
    <font>
      <sz val="20"/>
      <color theme="1"/>
      <name val="Calibri"/>
      <family val="2"/>
      <scheme val="minor"/>
    </font>
    <font>
      <b/>
      <sz val="14"/>
      <color theme="1"/>
      <name val="Calibri"/>
      <family val="2"/>
      <scheme val="minor"/>
    </font>
    <font>
      <sz val="8"/>
      <color theme="1"/>
      <name val="Calibri"/>
      <family val="2"/>
      <scheme val="minor"/>
    </font>
    <font>
      <b/>
      <sz val="14"/>
      <name val="Arial"/>
      <family val="2"/>
    </font>
    <font>
      <sz val="14"/>
      <color theme="1"/>
      <name val="Calibri"/>
      <family val="2"/>
      <scheme val="minor"/>
    </font>
    <font>
      <b/>
      <sz val="11"/>
      <color theme="0"/>
      <name val="Arial"/>
      <family val="2"/>
    </font>
    <font>
      <sz val="16"/>
      <name val="Calibri"/>
      <family val="2"/>
    </font>
    <font>
      <b/>
      <sz val="12"/>
      <color rgb="FF00B050"/>
      <name val="Calibri"/>
      <family val="2"/>
    </font>
    <font>
      <sz val="10"/>
      <color rgb="FF00B050"/>
      <name val="Arial"/>
      <family val="2"/>
    </font>
  </fonts>
  <fills count="8">
    <fill>
      <patternFill patternType="none"/>
    </fill>
    <fill>
      <patternFill patternType="gray125"/>
    </fill>
    <fill>
      <patternFill patternType="solid">
        <fgColor rgb="FFFFFFFF"/>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002060"/>
        <bgColor indexed="64"/>
      </patternFill>
    </fill>
    <fill>
      <patternFill patternType="solid">
        <fgColor rgb="FFFFFF00"/>
        <bgColor indexed="64"/>
      </patternFill>
    </fill>
    <fill>
      <patternFill patternType="solid">
        <fgColor theme="0"/>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s>
  <cellStyleXfs count="2">
    <xf numFmtId="0" fontId="0" fillId="0" borderId="0"/>
    <xf numFmtId="0" fontId="6" fillId="0" borderId="0"/>
  </cellStyleXfs>
  <cellXfs count="233">
    <xf numFmtId="0" fontId="0" fillId="0" borderId="0" xfId="0"/>
    <xf numFmtId="0" fontId="0" fillId="0" borderId="0" xfId="0" applyAlignment="1">
      <alignment horizontal="center" vertical="center"/>
    </xf>
    <xf numFmtId="0" fontId="6" fillId="0" borderId="0" xfId="0" applyFont="1" applyAlignment="1">
      <alignment horizontal="center" vertical="center"/>
    </xf>
    <xf numFmtId="0" fontId="4" fillId="0" borderId="0" xfId="0" applyFont="1" applyAlignment="1">
      <alignment horizontal="center" vertical="center"/>
    </xf>
    <xf numFmtId="0" fontId="0" fillId="0" borderId="0" xfId="0" applyAlignment="1">
      <alignment horizontal="left" vertical="center"/>
    </xf>
    <xf numFmtId="14" fontId="7" fillId="0" borderId="0" xfId="0" applyNumberFormat="1" applyFont="1" applyAlignment="1">
      <alignment horizontal="left" vertical="center"/>
    </xf>
    <xf numFmtId="0" fontId="6" fillId="0" borderId="9" xfId="0" applyFont="1" applyBorder="1" applyAlignment="1">
      <alignment horizontal="center" vertical="center" wrapText="1"/>
    </xf>
    <xf numFmtId="0" fontId="3" fillId="0" borderId="9" xfId="0" applyFont="1" applyBorder="1" applyAlignment="1">
      <alignment horizontal="left" vertical="center"/>
    </xf>
    <xf numFmtId="0" fontId="0" fillId="0" borderId="9" xfId="0" applyBorder="1" applyAlignment="1">
      <alignment horizontal="center" vertical="center" wrapText="1"/>
    </xf>
    <xf numFmtId="0" fontId="1" fillId="0" borderId="10" xfId="0" applyFont="1" applyBorder="1" applyAlignment="1">
      <alignment horizontal="center" vertical="center" wrapText="1"/>
    </xf>
    <xf numFmtId="0" fontId="7" fillId="0" borderId="19" xfId="0" applyFont="1" applyBorder="1" applyAlignment="1">
      <alignment horizontal="center" vertical="center"/>
    </xf>
    <xf numFmtId="0" fontId="7" fillId="0" borderId="16" xfId="0" applyFont="1" applyBorder="1" applyAlignment="1">
      <alignment horizontal="center" vertical="center"/>
    </xf>
    <xf numFmtId="0" fontId="7" fillId="0" borderId="16" xfId="0" applyFont="1" applyBorder="1" applyAlignment="1">
      <alignment vertical="center"/>
    </xf>
    <xf numFmtId="0" fontId="7" fillId="0" borderId="20" xfId="0" applyFont="1" applyBorder="1" applyAlignment="1">
      <alignment horizontal="center" vertical="center"/>
    </xf>
    <xf numFmtId="0" fontId="7" fillId="0" borderId="21" xfId="0" applyFont="1" applyBorder="1" applyAlignment="1">
      <alignment vertical="center" wrapText="1"/>
    </xf>
    <xf numFmtId="0" fontId="4" fillId="0" borderId="21" xfId="0" applyFont="1" applyBorder="1" applyAlignment="1">
      <alignment vertical="center" wrapText="1"/>
    </xf>
    <xf numFmtId="0" fontId="4" fillId="0" borderId="19" xfId="0" applyFont="1" applyBorder="1" applyAlignment="1">
      <alignment horizontal="center" vertical="center" wrapText="1"/>
    </xf>
    <xf numFmtId="0" fontId="4" fillId="0" borderId="21"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16" xfId="0" applyFont="1" applyBorder="1" applyAlignment="1">
      <alignment horizontal="center" vertical="center" wrapText="1"/>
    </xf>
    <xf numFmtId="16" fontId="4" fillId="0" borderId="21" xfId="0" applyNumberFormat="1" applyFont="1" applyBorder="1" applyAlignment="1">
      <alignment horizontal="center" vertical="center" wrapText="1"/>
    </xf>
    <xf numFmtId="0" fontId="20" fillId="0" borderId="0" xfId="0" applyFont="1"/>
    <xf numFmtId="0" fontId="21" fillId="4" borderId="3" xfId="1" applyFont="1" applyFill="1" applyBorder="1" applyAlignment="1">
      <alignment horizontal="center" vertical="center" wrapText="1"/>
    </xf>
    <xf numFmtId="0" fontId="21" fillId="4" borderId="4" xfId="1" applyFont="1" applyFill="1" applyBorder="1" applyAlignment="1">
      <alignment horizontal="center" vertical="center" wrapText="1"/>
    </xf>
    <xf numFmtId="0" fontId="0" fillId="0" borderId="3" xfId="0" applyBorder="1" applyAlignment="1">
      <alignment horizontal="center"/>
    </xf>
    <xf numFmtId="0" fontId="0" fillId="0" borderId="1" xfId="0" applyBorder="1"/>
    <xf numFmtId="0" fontId="0" fillId="0" borderId="4" xfId="0" applyBorder="1"/>
    <xf numFmtId="0" fontId="0" fillId="0" borderId="10" xfId="0" applyBorder="1"/>
    <xf numFmtId="0" fontId="0" fillId="0" borderId="18" xfId="0" applyBorder="1"/>
    <xf numFmtId="0" fontId="22" fillId="0" borderId="1" xfId="0" applyFont="1" applyBorder="1" applyAlignment="1">
      <alignment vertical="center"/>
    </xf>
    <xf numFmtId="0" fontId="0" fillId="0" borderId="9" xfId="0" applyBorder="1" applyAlignment="1">
      <alignment horizontal="center" wrapText="1"/>
    </xf>
    <xf numFmtId="0" fontId="0" fillId="0" borderId="1" xfId="0" applyBorder="1" applyAlignment="1">
      <alignment horizontal="center" wrapText="1"/>
    </xf>
    <xf numFmtId="0" fontId="0" fillId="0" borderId="17" xfId="0" applyBorder="1" applyAlignment="1">
      <alignment horizontal="center"/>
    </xf>
    <xf numFmtId="0" fontId="0" fillId="0" borderId="4" xfId="0" applyBorder="1" applyAlignment="1">
      <alignment horizontal="center"/>
    </xf>
    <xf numFmtId="0" fontId="0" fillId="0" borderId="10" xfId="0" applyBorder="1" applyAlignment="1">
      <alignment horizontal="center" wrapText="1"/>
    </xf>
    <xf numFmtId="0" fontId="14" fillId="0" borderId="3" xfId="0" applyFont="1" applyBorder="1" applyAlignment="1">
      <alignment vertical="center" wrapText="1"/>
    </xf>
    <xf numFmtId="0" fontId="4" fillId="0" borderId="13" xfId="0" applyFont="1" applyBorder="1" applyAlignment="1">
      <alignment vertical="center" wrapText="1"/>
    </xf>
    <xf numFmtId="0" fontId="4" fillId="0" borderId="10" xfId="0" applyFont="1" applyBorder="1" applyAlignment="1">
      <alignment vertical="center" wrapText="1"/>
    </xf>
    <xf numFmtId="0" fontId="14" fillId="0" borderId="13" xfId="0" applyFont="1" applyBorder="1" applyAlignment="1">
      <alignment vertical="center" wrapText="1"/>
    </xf>
    <xf numFmtId="0" fontId="7" fillId="0" borderId="10" xfId="0" applyFont="1" applyBorder="1" applyAlignment="1">
      <alignment horizontal="center" vertical="center" wrapText="1"/>
    </xf>
    <xf numFmtId="0" fontId="7" fillId="0" borderId="18" xfId="0" applyFont="1" applyBorder="1" applyAlignment="1">
      <alignment horizontal="center" vertical="center" wrapText="1"/>
    </xf>
    <xf numFmtId="0" fontId="7" fillId="0" borderId="12" xfId="0" applyFont="1" applyBorder="1" applyAlignment="1">
      <alignment horizontal="center" vertical="center" wrapText="1"/>
    </xf>
    <xf numFmtId="0" fontId="7" fillId="2" borderId="3" xfId="0" applyFont="1" applyFill="1" applyBorder="1" applyAlignment="1">
      <alignment vertical="center" wrapText="1"/>
    </xf>
    <xf numFmtId="0" fontId="7" fillId="0" borderId="3" xfId="0" applyFont="1" applyBorder="1" applyAlignment="1">
      <alignment vertical="center" wrapText="1"/>
    </xf>
    <xf numFmtId="0" fontId="7" fillId="0" borderId="13" xfId="0" applyFont="1" applyBorder="1" applyAlignment="1">
      <alignment vertical="center" wrapText="1"/>
    </xf>
    <xf numFmtId="0" fontId="4" fillId="0" borderId="3" xfId="0" applyFont="1" applyBorder="1" applyAlignment="1">
      <alignment horizontal="center" vertical="center" wrapText="1"/>
    </xf>
    <xf numFmtId="0" fontId="4" fillId="0" borderId="13" xfId="0" applyFont="1" applyBorder="1" applyAlignment="1">
      <alignment horizontal="center" vertical="center" wrapText="1"/>
    </xf>
    <xf numFmtId="0" fontId="7" fillId="0" borderId="0" xfId="0" applyFont="1" applyAlignment="1">
      <alignment horizontal="left" vertical="center"/>
    </xf>
    <xf numFmtId="0" fontId="4" fillId="0" borderId="0" xfId="0" applyFont="1" applyAlignment="1">
      <alignment horizontal="center" vertical="center" wrapText="1"/>
    </xf>
    <xf numFmtId="0" fontId="15" fillId="0" borderId="0" xfId="0" applyFont="1" applyAlignment="1">
      <alignment horizontal="center" vertical="center" wrapText="1"/>
    </xf>
    <xf numFmtId="0" fontId="6" fillId="0" borderId="1" xfId="0" applyFont="1" applyBorder="1"/>
    <xf numFmtId="0" fontId="6" fillId="0" borderId="5" xfId="0" applyFont="1" applyBorder="1" applyAlignment="1">
      <alignment horizontal="center" vertical="center" wrapText="1"/>
    </xf>
    <xf numFmtId="0" fontId="0" fillId="0" borderId="5" xfId="0" applyBorder="1" applyAlignment="1">
      <alignment horizontal="center" wrapText="1"/>
    </xf>
    <xf numFmtId="0" fontId="24" fillId="0" borderId="1" xfId="0" applyFont="1" applyBorder="1" applyAlignment="1">
      <alignment horizontal="center" vertical="center" wrapText="1"/>
    </xf>
    <xf numFmtId="0" fontId="25" fillId="0" borderId="1" xfId="0" applyFont="1" applyBorder="1" applyAlignment="1">
      <alignment horizontal="center" vertical="center" wrapText="1"/>
    </xf>
    <xf numFmtId="0" fontId="6" fillId="0" borderId="1" xfId="0" applyFont="1" applyBorder="1" applyAlignment="1">
      <alignment vertical="center" wrapText="1"/>
    </xf>
    <xf numFmtId="0" fontId="0" fillId="0" borderId="10" xfId="0" applyBorder="1" applyAlignment="1">
      <alignment horizontal="center"/>
    </xf>
    <xf numFmtId="0" fontId="0" fillId="0" borderId="9" xfId="0" applyBorder="1" applyAlignment="1">
      <alignment horizontal="center"/>
    </xf>
    <xf numFmtId="0" fontId="0" fillId="0" borderId="1" xfId="0" applyBorder="1" applyAlignment="1">
      <alignment horizontal="center" vertical="center" wrapText="1"/>
    </xf>
    <xf numFmtId="0" fontId="0" fillId="0" borderId="10" xfId="0" applyBorder="1" applyAlignment="1">
      <alignment horizontal="center" vertical="center" wrapText="1"/>
    </xf>
    <xf numFmtId="0" fontId="0" fillId="0" borderId="18" xfId="0" applyBorder="1" applyAlignment="1">
      <alignment horizontal="center"/>
    </xf>
    <xf numFmtId="0" fontId="6" fillId="6" borderId="1" xfId="0" applyFont="1" applyFill="1" applyBorder="1" applyAlignment="1">
      <alignment horizontal="center" vertical="center" wrapText="1"/>
    </xf>
    <xf numFmtId="0" fontId="6" fillId="6" borderId="1" xfId="0" applyFont="1" applyFill="1" applyBorder="1" applyAlignment="1">
      <alignment vertical="center" wrapText="1"/>
    </xf>
    <xf numFmtId="0" fontId="0" fillId="6" borderId="1" xfId="0" applyFill="1" applyBorder="1" applyAlignment="1">
      <alignment horizontal="center" wrapText="1"/>
    </xf>
    <xf numFmtId="0" fontId="6" fillId="6" borderId="1" xfId="0" applyFont="1" applyFill="1" applyBorder="1" applyAlignment="1">
      <alignment horizontal="center" wrapText="1"/>
    </xf>
    <xf numFmtId="0" fontId="6" fillId="0" borderId="1" xfId="0" applyFont="1" applyBorder="1" applyAlignment="1">
      <alignment horizontal="center" wrapText="1"/>
    </xf>
    <xf numFmtId="0" fontId="6" fillId="0" borderId="4" xfId="0" applyFont="1" applyBorder="1" applyAlignment="1">
      <alignment horizontal="center"/>
    </xf>
    <xf numFmtId="0" fontId="0" fillId="0" borderId="1" xfId="0" applyBorder="1" applyAlignment="1">
      <alignment wrapText="1"/>
    </xf>
    <xf numFmtId="0" fontId="0" fillId="6" borderId="1" xfId="0" applyFill="1" applyBorder="1" applyAlignment="1">
      <alignment horizontal="center"/>
    </xf>
    <xf numFmtId="0" fontId="6" fillId="0" borderId="1" xfId="0" applyFont="1" applyBorder="1" applyAlignment="1">
      <alignment horizontal="left" wrapText="1"/>
    </xf>
    <xf numFmtId="0" fontId="6" fillId="7" borderId="1" xfId="0" applyFont="1" applyFill="1" applyBorder="1" applyAlignment="1">
      <alignment horizontal="center" vertical="center" wrapText="1"/>
    </xf>
    <xf numFmtId="0" fontId="6" fillId="7" borderId="1" xfId="0" applyFont="1" applyFill="1" applyBorder="1" applyAlignment="1">
      <alignment vertical="center" wrapText="1"/>
    </xf>
    <xf numFmtId="0" fontId="0" fillId="7" borderId="1" xfId="0" applyFill="1" applyBorder="1" applyAlignment="1">
      <alignment horizontal="center" wrapText="1"/>
    </xf>
    <xf numFmtId="0" fontId="6" fillId="7" borderId="1" xfId="0" applyFont="1" applyFill="1" applyBorder="1" applyAlignment="1">
      <alignment horizontal="center" wrapText="1"/>
    </xf>
    <xf numFmtId="0" fontId="0" fillId="7" borderId="1" xfId="0" applyFill="1" applyBorder="1" applyAlignment="1">
      <alignment horizontal="center"/>
    </xf>
    <xf numFmtId="0" fontId="0" fillId="7" borderId="5" xfId="0" applyFill="1" applyBorder="1" applyAlignment="1">
      <alignment horizontal="center" wrapText="1"/>
    </xf>
    <xf numFmtId="0" fontId="26" fillId="7" borderId="5" xfId="0" applyFont="1" applyFill="1" applyBorder="1" applyAlignment="1">
      <alignment horizontal="center" wrapText="1"/>
    </xf>
    <xf numFmtId="0" fontId="0" fillId="7" borderId="34" xfId="0" applyFill="1" applyBorder="1" applyAlignment="1">
      <alignment horizontal="center"/>
    </xf>
    <xf numFmtId="0" fontId="0" fillId="0" borderId="5" xfId="0" applyBorder="1" applyAlignment="1">
      <alignment horizontal="center" vertical="center"/>
    </xf>
    <xf numFmtId="0" fontId="0" fillId="0" borderId="1" xfId="0" applyBorder="1" applyAlignment="1">
      <alignment horizontal="center"/>
    </xf>
    <xf numFmtId="0" fontId="6" fillId="0" borderId="5" xfId="0" applyFont="1" applyBorder="1" applyAlignment="1">
      <alignment horizontal="center" wrapText="1"/>
    </xf>
    <xf numFmtId="0" fontId="6" fillId="6" borderId="1" xfId="0" applyFont="1" applyFill="1" applyBorder="1"/>
    <xf numFmtId="0" fontId="7" fillId="0" borderId="1" xfId="0" applyFont="1" applyBorder="1" applyAlignment="1">
      <alignment vertical="center"/>
    </xf>
    <xf numFmtId="0" fontId="4" fillId="0" borderId="24" xfId="0" applyFont="1" applyBorder="1" applyAlignment="1">
      <alignment horizontal="center" vertical="center" wrapText="1"/>
    </xf>
    <xf numFmtId="0" fontId="4" fillId="0" borderId="20" xfId="0" applyFont="1" applyBorder="1" applyAlignment="1">
      <alignment horizontal="center" vertical="center" wrapText="1"/>
    </xf>
    <xf numFmtId="0" fontId="4" fillId="0" borderId="3" xfId="0" applyFont="1" applyBorder="1" applyAlignment="1">
      <alignment vertical="center" wrapText="1"/>
    </xf>
    <xf numFmtId="0" fontId="4" fillId="0" borderId="1" xfId="0" applyFont="1" applyBorder="1" applyAlignment="1">
      <alignment vertical="center" wrapText="1"/>
    </xf>
    <xf numFmtId="0" fontId="4" fillId="0" borderId="4" xfId="0" applyFont="1" applyBorder="1" applyAlignment="1">
      <alignment horizontal="center" vertical="center" wrapText="1"/>
    </xf>
    <xf numFmtId="0" fontId="4" fillId="0" borderId="18" xfId="0" applyFont="1" applyBorder="1" applyAlignment="1">
      <alignment horizontal="center" vertical="center" wrapText="1"/>
    </xf>
    <xf numFmtId="0" fontId="7" fillId="0" borderId="9" xfId="0" applyFont="1" applyBorder="1" applyAlignment="1">
      <alignment horizontal="center" vertical="center" wrapText="1"/>
    </xf>
    <xf numFmtId="0" fontId="7" fillId="0" borderId="17" xfId="0" applyFont="1" applyBorder="1" applyAlignment="1">
      <alignment horizontal="center" vertical="center" wrapText="1"/>
    </xf>
    <xf numFmtId="0" fontId="4" fillId="0" borderId="16" xfId="0" applyFont="1" applyBorder="1" applyAlignment="1">
      <alignment horizontal="center" vertical="center" wrapText="1"/>
    </xf>
    <xf numFmtId="0" fontId="21" fillId="4" borderId="1" xfId="1" applyFont="1" applyFill="1" applyBorder="1" applyAlignment="1">
      <alignment horizontal="center" vertical="center" wrapText="1"/>
    </xf>
    <xf numFmtId="0" fontId="22" fillId="0" borderId="1" xfId="0" applyFont="1" applyBorder="1" applyAlignment="1">
      <alignment horizontal="center" vertical="center"/>
    </xf>
    <xf numFmtId="0" fontId="6" fillId="0" borderId="1" xfId="0" applyFont="1" applyBorder="1" applyAlignment="1">
      <alignment horizontal="center" vertical="center"/>
    </xf>
    <xf numFmtId="0" fontId="0" fillId="0" borderId="1" xfId="0" applyBorder="1" applyAlignment="1">
      <alignment horizontal="center" vertical="center"/>
    </xf>
    <xf numFmtId="0" fontId="6" fillId="0" borderId="1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13" xfId="0" applyFont="1" applyBorder="1" applyAlignment="1">
      <alignment horizontal="center" vertical="center" wrapText="1"/>
    </xf>
    <xf numFmtId="0" fontId="3" fillId="0" borderId="9" xfId="0" applyFont="1" applyBorder="1" applyAlignment="1">
      <alignment horizontal="center" vertical="center"/>
    </xf>
    <xf numFmtId="0" fontId="6" fillId="0" borderId="1" xfId="0" applyFont="1" applyBorder="1" applyAlignment="1">
      <alignment horizontal="center" vertical="center" wrapText="1"/>
    </xf>
    <xf numFmtId="0" fontId="6" fillId="0" borderId="10" xfId="0" applyFont="1" applyBorder="1" applyAlignment="1">
      <alignment horizontal="center" vertical="center" wrapText="1"/>
    </xf>
    <xf numFmtId="0" fontId="1" fillId="0" borderId="1" xfId="0" applyFont="1" applyBorder="1" applyAlignment="1">
      <alignment horizontal="center" vertical="center" wrapText="1"/>
    </xf>
    <xf numFmtId="0" fontId="7" fillId="0" borderId="1" xfId="0" applyFont="1" applyBorder="1" applyAlignment="1">
      <alignment horizontal="center" vertical="center"/>
    </xf>
    <xf numFmtId="0" fontId="7" fillId="0" borderId="1" xfId="0" applyFont="1" applyBorder="1" applyAlignment="1">
      <alignment horizontal="left" vertical="center"/>
    </xf>
    <xf numFmtId="0" fontId="4" fillId="0" borderId="10" xfId="0" applyFont="1" applyBorder="1" applyAlignment="1">
      <alignment horizontal="center" vertical="center" wrapText="1"/>
    </xf>
    <xf numFmtId="0" fontId="4" fillId="0" borderId="18" xfId="0" applyFont="1" applyBorder="1" applyAlignment="1">
      <alignment horizontal="center" vertical="center" wrapText="1"/>
    </xf>
    <xf numFmtId="0" fontId="23" fillId="5" borderId="44" xfId="0" applyFont="1" applyFill="1" applyBorder="1" applyAlignment="1">
      <alignment horizontal="center" vertical="center"/>
    </xf>
    <xf numFmtId="0" fontId="23" fillId="5" borderId="23" xfId="0" applyFont="1" applyFill="1" applyBorder="1" applyAlignment="1">
      <alignment horizontal="center" vertical="center"/>
    </xf>
    <xf numFmtId="0" fontId="9" fillId="0" borderId="0" xfId="0" applyFont="1" applyAlignment="1">
      <alignment horizontal="center" vertical="center"/>
    </xf>
    <xf numFmtId="0" fontId="7" fillId="0" borderId="9" xfId="0" applyFont="1" applyBorder="1" applyAlignment="1">
      <alignment horizontal="center" vertical="center" wrapText="1"/>
    </xf>
    <xf numFmtId="0" fontId="7" fillId="0" borderId="17" xfId="0" applyFont="1" applyBorder="1" applyAlignment="1">
      <alignment horizontal="center" vertical="center" wrapText="1"/>
    </xf>
    <xf numFmtId="0" fontId="4" fillId="2" borderId="1"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4" xfId="0" applyFont="1" applyBorder="1" applyAlignment="1">
      <alignment horizontal="center" vertical="center" wrapText="1"/>
    </xf>
    <xf numFmtId="0" fontId="23" fillId="5" borderId="14" xfId="0" applyFont="1" applyFill="1" applyBorder="1" applyAlignment="1">
      <alignment horizontal="center" vertical="center"/>
    </xf>
    <xf numFmtId="0" fontId="23" fillId="5" borderId="15" xfId="0" applyFont="1" applyFill="1" applyBorder="1" applyAlignment="1">
      <alignment horizontal="center" vertical="center"/>
    </xf>
    <xf numFmtId="0" fontId="23" fillId="5" borderId="45" xfId="0" applyFont="1" applyFill="1" applyBorder="1" applyAlignment="1">
      <alignment horizontal="center" vertical="center"/>
    </xf>
    <xf numFmtId="0" fontId="15" fillId="0" borderId="1" xfId="0" applyFont="1" applyBorder="1" applyAlignment="1">
      <alignment horizontal="center" vertical="center" wrapText="1"/>
    </xf>
    <xf numFmtId="0" fontId="15" fillId="0" borderId="10" xfId="0" applyFont="1" applyBorder="1" applyAlignment="1">
      <alignment horizontal="center" vertical="center" wrapText="1"/>
    </xf>
    <xf numFmtId="0" fontId="4" fillId="0" borderId="14" xfId="0" applyFont="1" applyBorder="1" applyAlignment="1">
      <alignment horizontal="center" vertical="center" wrapText="1"/>
    </xf>
    <xf numFmtId="0" fontId="4" fillId="0" borderId="16" xfId="0" applyFont="1" applyBorder="1" applyAlignment="1">
      <alignment horizontal="center" vertical="center" wrapText="1"/>
    </xf>
    <xf numFmtId="0" fontId="4" fillId="0" borderId="24" xfId="0" applyFont="1" applyBorder="1" applyAlignment="1">
      <alignment horizontal="center" vertical="center" wrapText="1"/>
    </xf>
    <xf numFmtId="0" fontId="4" fillId="0" borderId="22" xfId="0" applyFont="1" applyBorder="1" applyAlignment="1">
      <alignment horizontal="center" vertical="center" wrapText="1"/>
    </xf>
    <xf numFmtId="0" fontId="4" fillId="0" borderId="20" xfId="0" applyFont="1" applyBorder="1" applyAlignment="1">
      <alignment horizontal="center" vertical="center" wrapText="1"/>
    </xf>
    <xf numFmtId="0" fontId="13" fillId="0" borderId="24" xfId="0" applyFont="1" applyBorder="1" applyAlignment="1">
      <alignment horizontal="center" vertical="center" wrapText="1"/>
    </xf>
    <xf numFmtId="0" fontId="13" fillId="0" borderId="22" xfId="0" applyFont="1" applyBorder="1" applyAlignment="1">
      <alignment horizontal="center" vertical="center" wrapText="1"/>
    </xf>
    <xf numFmtId="0" fontId="13" fillId="0" borderId="20" xfId="0" applyFont="1" applyBorder="1" applyAlignment="1">
      <alignment horizontal="center" vertical="center" wrapText="1"/>
    </xf>
    <xf numFmtId="0" fontId="23" fillId="5" borderId="46" xfId="0" applyFont="1" applyFill="1" applyBorder="1" applyAlignment="1">
      <alignment horizontal="center" vertical="center"/>
    </xf>
    <xf numFmtId="0" fontId="23" fillId="5" borderId="47" xfId="0" applyFont="1" applyFill="1" applyBorder="1" applyAlignment="1">
      <alignment horizontal="center" vertical="center"/>
    </xf>
    <xf numFmtId="0" fontId="23" fillId="5" borderId="31" xfId="0" applyFont="1" applyFill="1" applyBorder="1" applyAlignment="1">
      <alignment horizontal="center" vertical="center"/>
    </xf>
    <xf numFmtId="0" fontId="4" fillId="0" borderId="6" xfId="0" applyFont="1" applyBorder="1" applyAlignment="1">
      <alignment vertical="center" wrapText="1"/>
    </xf>
    <xf numFmtId="0" fontId="4" fillId="0" borderId="3" xfId="0" applyFont="1" applyBorder="1" applyAlignment="1">
      <alignment vertical="center" wrapText="1"/>
    </xf>
    <xf numFmtId="0" fontId="4" fillId="0" borderId="7" xfId="0" applyFont="1" applyBorder="1" applyAlignment="1">
      <alignment vertical="center" wrapText="1"/>
    </xf>
    <xf numFmtId="0" fontId="4" fillId="0" borderId="1" xfId="0" applyFont="1" applyBorder="1" applyAlignment="1">
      <alignment vertical="center" wrapText="1"/>
    </xf>
    <xf numFmtId="0" fontId="4" fillId="0" borderId="8" xfId="0" applyFont="1" applyBorder="1" applyAlignment="1">
      <alignment horizontal="center" vertical="center" wrapText="1"/>
    </xf>
    <xf numFmtId="0" fontId="22" fillId="0" borderId="42" xfId="0" applyFont="1" applyBorder="1" applyAlignment="1">
      <alignment horizontal="left" vertical="center" wrapText="1"/>
    </xf>
    <xf numFmtId="0" fontId="22" fillId="0" borderId="2" xfId="0" applyFont="1" applyBorder="1" applyAlignment="1">
      <alignment horizontal="left" vertical="center" wrapText="1"/>
    </xf>
    <xf numFmtId="0" fontId="22" fillId="0" borderId="43" xfId="0" applyFont="1" applyBorder="1" applyAlignment="1">
      <alignment horizontal="left" vertical="center" wrapText="1"/>
    </xf>
    <xf numFmtId="0" fontId="19" fillId="0" borderId="36" xfId="0" applyFont="1" applyBorder="1" applyAlignment="1">
      <alignment horizontal="left" vertical="center" wrapText="1"/>
    </xf>
    <xf numFmtId="0" fontId="19" fillId="0" borderId="41" xfId="0" applyFont="1" applyBorder="1" applyAlignment="1">
      <alignment horizontal="left" vertical="center" wrapText="1"/>
    </xf>
    <xf numFmtId="0" fontId="19" fillId="0" borderId="37" xfId="0" applyFont="1" applyBorder="1" applyAlignment="1">
      <alignment horizontal="left" vertical="center" wrapText="1"/>
    </xf>
    <xf numFmtId="0" fontId="22" fillId="0" borderId="39" xfId="0" applyFont="1" applyBorder="1" applyAlignment="1">
      <alignment horizontal="left" vertical="center" wrapText="1"/>
    </xf>
    <xf numFmtId="0" fontId="22" fillId="0" borderId="0" xfId="0" applyFont="1" applyAlignment="1">
      <alignment horizontal="left" vertical="center" wrapText="1"/>
    </xf>
    <xf numFmtId="0" fontId="22" fillId="0" borderId="40" xfId="0" applyFont="1" applyBorder="1" applyAlignment="1">
      <alignment horizontal="left" vertical="center" wrapText="1"/>
    </xf>
    <xf numFmtId="0" fontId="22" fillId="0" borderId="1" xfId="0" applyFont="1" applyBorder="1" applyAlignment="1">
      <alignment horizontal="left" vertical="center"/>
    </xf>
    <xf numFmtId="0" fontId="0" fillId="0" borderId="1" xfId="0" applyBorder="1" applyAlignment="1">
      <alignment horizontal="center"/>
    </xf>
    <xf numFmtId="0" fontId="0" fillId="0" borderId="5" xfId="0" applyBorder="1" applyAlignment="1">
      <alignment horizontal="center"/>
    </xf>
    <xf numFmtId="0" fontId="0" fillId="0" borderId="38" xfId="0" applyBorder="1" applyAlignment="1">
      <alignment horizontal="center"/>
    </xf>
    <xf numFmtId="0" fontId="0" fillId="0" borderId="36" xfId="0" applyBorder="1" applyAlignment="1">
      <alignment horizontal="center"/>
    </xf>
    <xf numFmtId="0" fontId="0" fillId="0" borderId="37" xfId="0" applyBorder="1" applyAlignment="1">
      <alignment horizontal="center"/>
    </xf>
    <xf numFmtId="0" fontId="0" fillId="0" borderId="39" xfId="0" applyBorder="1" applyAlignment="1">
      <alignment horizontal="center"/>
    </xf>
    <xf numFmtId="0" fontId="0" fillId="0" borderId="40" xfId="0" applyBorder="1" applyAlignment="1">
      <alignment horizontal="center"/>
    </xf>
    <xf numFmtId="0" fontId="22" fillId="0" borderId="34" xfId="0" applyFont="1" applyBorder="1" applyAlignment="1">
      <alignment horizontal="center" vertical="center"/>
    </xf>
    <xf numFmtId="0" fontId="22" fillId="0" borderId="33" xfId="0" applyFont="1" applyBorder="1" applyAlignment="1">
      <alignment horizontal="center" vertical="center"/>
    </xf>
    <xf numFmtId="0" fontId="6" fillId="0" borderId="34" xfId="0" applyFont="1" applyBorder="1" applyAlignment="1">
      <alignment horizontal="left" vertical="center"/>
    </xf>
    <xf numFmtId="0" fontId="6" fillId="0" borderId="11" xfId="0" applyFont="1" applyBorder="1" applyAlignment="1">
      <alignment horizontal="left" vertical="center"/>
    </xf>
    <xf numFmtId="0" fontId="6" fillId="0" borderId="33" xfId="0" applyFont="1" applyBorder="1" applyAlignment="1">
      <alignment horizontal="left" vertical="center"/>
    </xf>
    <xf numFmtId="0" fontId="6" fillId="0" borderId="48" xfId="0" applyFont="1" applyBorder="1" applyAlignment="1">
      <alignment horizontal="left" vertical="center"/>
    </xf>
    <xf numFmtId="0" fontId="6" fillId="0" borderId="49" xfId="0" applyFont="1" applyBorder="1" applyAlignment="1">
      <alignment horizontal="left" vertical="center"/>
    </xf>
    <xf numFmtId="0" fontId="6" fillId="0" borderId="50" xfId="0" applyFont="1" applyBorder="1" applyAlignment="1">
      <alignment horizontal="left" vertical="center"/>
    </xf>
    <xf numFmtId="0" fontId="0" fillId="0" borderId="1" xfId="0" applyBorder="1" applyAlignment="1">
      <alignment horizontal="left"/>
    </xf>
    <xf numFmtId="0" fontId="22" fillId="0" borderId="1" xfId="0" applyFont="1" applyBorder="1" applyAlignment="1">
      <alignment horizontal="center" vertical="center"/>
    </xf>
    <xf numFmtId="0" fontId="19" fillId="0" borderId="3" xfId="0" applyFont="1" applyBorder="1" applyAlignment="1">
      <alignment horizontal="left" vertical="center"/>
    </xf>
    <xf numFmtId="0" fontId="19" fillId="0" borderId="1" xfId="0" applyFont="1" applyBorder="1" applyAlignment="1">
      <alignment horizontal="left" vertical="center"/>
    </xf>
    <xf numFmtId="0" fontId="19" fillId="0" borderId="4" xfId="0" applyFont="1" applyBorder="1" applyAlignment="1">
      <alignment horizontal="left" vertical="center"/>
    </xf>
    <xf numFmtId="0" fontId="21" fillId="4" borderId="1" xfId="1" applyFont="1" applyFill="1" applyBorder="1" applyAlignment="1">
      <alignment horizontal="center" vertical="center" wrapText="1"/>
    </xf>
    <xf numFmtId="0" fontId="18" fillId="0" borderId="30" xfId="0" applyFont="1" applyBorder="1" applyAlignment="1">
      <alignment horizontal="left" vertical="center"/>
    </xf>
    <xf numFmtId="0" fontId="18" fillId="0" borderId="31" xfId="0" applyFont="1" applyBorder="1" applyAlignment="1">
      <alignment horizontal="left" vertical="center"/>
    </xf>
    <xf numFmtId="0" fontId="17" fillId="0" borderId="33" xfId="0" applyFont="1" applyBorder="1" applyAlignment="1">
      <alignment horizontal="left" vertical="center"/>
    </xf>
    <xf numFmtId="0" fontId="17" fillId="0" borderId="1" xfId="0" applyFont="1" applyBorder="1" applyAlignment="1">
      <alignment horizontal="left" vertical="center"/>
    </xf>
    <xf numFmtId="1" fontId="18" fillId="0" borderId="34" xfId="0" applyNumberFormat="1" applyFont="1" applyBorder="1" applyAlignment="1">
      <alignment horizontal="left" vertical="center"/>
    </xf>
    <xf numFmtId="1" fontId="18" fillId="0" borderId="35" xfId="0" applyNumberFormat="1" applyFont="1" applyBorder="1" applyAlignment="1">
      <alignment horizontal="left" vertical="center"/>
    </xf>
    <xf numFmtId="14" fontId="18" fillId="0" borderId="34" xfId="0" applyNumberFormat="1" applyFont="1" applyBorder="1" applyAlignment="1">
      <alignment horizontal="left" vertical="center"/>
    </xf>
    <xf numFmtId="0" fontId="18" fillId="0" borderId="35" xfId="0" applyFont="1" applyBorder="1" applyAlignment="1">
      <alignment horizontal="left" vertical="center"/>
    </xf>
    <xf numFmtId="0" fontId="0" fillId="0" borderId="26" xfId="0" applyBorder="1" applyAlignment="1">
      <alignment horizontal="center"/>
    </xf>
    <xf numFmtId="0" fontId="0" fillId="0" borderId="27" xfId="0" applyBorder="1" applyAlignment="1">
      <alignment horizontal="center"/>
    </xf>
    <xf numFmtId="0" fontId="0" fillId="0" borderId="32" xfId="0" applyBorder="1" applyAlignment="1">
      <alignment horizontal="center"/>
    </xf>
    <xf numFmtId="0" fontId="0" fillId="0" borderId="25" xfId="0" applyBorder="1" applyAlignment="1">
      <alignment horizontal="center"/>
    </xf>
    <xf numFmtId="0" fontId="16" fillId="3" borderId="26" xfId="0" applyFont="1" applyFill="1" applyBorder="1" applyAlignment="1">
      <alignment horizontal="center" vertical="center" wrapText="1"/>
    </xf>
    <xf numFmtId="0" fontId="16" fillId="3" borderId="28" xfId="0" applyFont="1" applyFill="1" applyBorder="1" applyAlignment="1">
      <alignment horizontal="center" vertical="center"/>
    </xf>
    <xf numFmtId="0" fontId="16" fillId="3" borderId="27" xfId="0" applyFont="1" applyFill="1" applyBorder="1" applyAlignment="1">
      <alignment horizontal="center" vertical="center"/>
    </xf>
    <xf numFmtId="0" fontId="16" fillId="3" borderId="32" xfId="0" applyFont="1" applyFill="1" applyBorder="1" applyAlignment="1">
      <alignment horizontal="center" vertical="center"/>
    </xf>
    <xf numFmtId="0" fontId="16" fillId="3" borderId="0" xfId="0" applyFont="1" applyFill="1" applyAlignment="1">
      <alignment horizontal="center" vertical="center"/>
    </xf>
    <xf numFmtId="0" fontId="16" fillId="3" borderId="25" xfId="0" applyFont="1" applyFill="1" applyBorder="1" applyAlignment="1">
      <alignment horizontal="center" vertical="center"/>
    </xf>
    <xf numFmtId="0" fontId="17" fillId="0" borderId="29" xfId="0" applyFont="1" applyBorder="1" applyAlignment="1">
      <alignment horizontal="left" vertical="center"/>
    </xf>
    <xf numFmtId="0" fontId="17" fillId="0" borderId="9" xfId="0" applyFont="1" applyBorder="1" applyAlignment="1">
      <alignment horizontal="left" vertical="center"/>
    </xf>
    <xf numFmtId="0" fontId="6" fillId="0" borderId="1" xfId="0" applyFont="1" applyBorder="1" applyAlignment="1">
      <alignment horizontal="center" vertical="center"/>
    </xf>
    <xf numFmtId="0" fontId="6" fillId="0" borderId="5" xfId="0" applyFont="1" applyBorder="1" applyAlignment="1">
      <alignment horizontal="center" vertical="center"/>
    </xf>
    <xf numFmtId="0" fontId="6" fillId="0" borderId="38" xfId="0" applyFont="1" applyBorder="1" applyAlignment="1">
      <alignment horizontal="center" vertical="center"/>
    </xf>
    <xf numFmtId="0" fontId="6" fillId="0" borderId="7" xfId="0" applyFont="1" applyBorder="1" applyAlignment="1">
      <alignment horizontal="center" vertical="center"/>
    </xf>
    <xf numFmtId="0" fontId="0" fillId="0" borderId="1" xfId="0" applyBorder="1" applyAlignment="1">
      <alignment horizontal="center" vertical="center"/>
    </xf>
    <xf numFmtId="0" fontId="7" fillId="0" borderId="1" xfId="0" applyFont="1" applyBorder="1" applyAlignment="1">
      <alignment horizontal="left" vertical="center"/>
    </xf>
    <xf numFmtId="0" fontId="6" fillId="0" borderId="1" xfId="0" applyFont="1" applyBorder="1" applyAlignment="1">
      <alignment horizontal="left" vertical="center"/>
    </xf>
    <xf numFmtId="0" fontId="0" fillId="0" borderId="1" xfId="0" applyBorder="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10" xfId="0" applyFont="1" applyBorder="1" applyAlignment="1">
      <alignment horizontal="center" vertical="center"/>
    </xf>
    <xf numFmtId="0" fontId="6" fillId="0" borderId="1" xfId="0" applyFont="1" applyBorder="1" applyAlignment="1">
      <alignment horizontal="center" vertical="center" wrapText="1"/>
    </xf>
    <xf numFmtId="0" fontId="6" fillId="0" borderId="10" xfId="0" applyFont="1" applyBorder="1" applyAlignment="1">
      <alignment horizontal="center" vertical="center" wrapText="1"/>
    </xf>
    <xf numFmtId="0" fontId="7" fillId="0" borderId="1" xfId="0" applyFont="1" applyBorder="1" applyAlignment="1">
      <alignment horizontal="center" vertical="center"/>
    </xf>
    <xf numFmtId="0" fontId="1" fillId="0" borderId="10" xfId="0" applyFont="1" applyBorder="1" applyAlignment="1">
      <alignment horizontal="center" vertical="center" wrapText="1"/>
    </xf>
    <xf numFmtId="14" fontId="4" fillId="0" borderId="1" xfId="0" applyNumberFormat="1" applyFont="1" applyBorder="1" applyAlignment="1">
      <alignment horizontal="center" vertical="center"/>
    </xf>
    <xf numFmtId="0" fontId="4" fillId="0" borderId="1" xfId="0" applyFont="1" applyBorder="1" applyAlignment="1">
      <alignment horizontal="center" vertical="center"/>
    </xf>
    <xf numFmtId="0" fontId="6" fillId="0" borderId="10" xfId="0" applyFont="1" applyBorder="1" applyAlignment="1">
      <alignment horizontal="center" vertical="center"/>
    </xf>
    <xf numFmtId="0" fontId="7" fillId="0" borderId="34" xfId="0" applyFont="1" applyBorder="1" applyAlignment="1">
      <alignment horizontal="left" vertical="center"/>
    </xf>
    <xf numFmtId="0" fontId="7" fillId="0" borderId="11" xfId="0" applyFont="1" applyBorder="1" applyAlignment="1">
      <alignment horizontal="left" vertical="center"/>
    </xf>
    <xf numFmtId="0" fontId="7" fillId="0" borderId="33" xfId="0" applyFont="1" applyBorder="1" applyAlignment="1">
      <alignment horizontal="left" vertical="center"/>
    </xf>
    <xf numFmtId="0" fontId="6" fillId="0" borderId="1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13" xfId="0" applyFont="1" applyBorder="1" applyAlignment="1">
      <alignment horizontal="center" vertical="center" wrapText="1"/>
    </xf>
    <xf numFmtId="0" fontId="3" fillId="0" borderId="9" xfId="0" applyFont="1" applyBorder="1" applyAlignment="1">
      <alignment horizontal="center" vertical="center" wrapText="1"/>
    </xf>
    <xf numFmtId="0" fontId="3" fillId="0" borderId="9" xfId="0" applyFont="1" applyBorder="1" applyAlignment="1">
      <alignment horizontal="center" vertical="center"/>
    </xf>
    <xf numFmtId="0" fontId="9" fillId="0" borderId="26" xfId="0" applyFont="1" applyBorder="1" applyAlignment="1">
      <alignment horizontal="left" vertical="center" wrapText="1"/>
    </xf>
    <xf numFmtId="0" fontId="9" fillId="0" borderId="28" xfId="0" applyFont="1" applyBorder="1" applyAlignment="1">
      <alignment horizontal="left" vertical="center" wrapText="1"/>
    </xf>
    <xf numFmtId="0" fontId="9" fillId="0" borderId="27" xfId="0" applyFont="1" applyBorder="1" applyAlignment="1">
      <alignment horizontal="left" vertical="center" wrapText="1"/>
    </xf>
    <xf numFmtId="0" fontId="3" fillId="0" borderId="17" xfId="0" applyFont="1" applyBorder="1" applyAlignment="1">
      <alignment horizontal="center" vertical="center"/>
    </xf>
    <xf numFmtId="0" fontId="12" fillId="0" borderId="1" xfId="0" applyFont="1" applyBorder="1" applyAlignment="1">
      <alignment horizontal="center" vertical="center" wrapText="1"/>
    </xf>
    <xf numFmtId="0" fontId="12" fillId="0" borderId="10" xfId="0" applyFont="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0" fontId="1" fillId="0" borderId="4" xfId="0" applyFont="1" applyBorder="1" applyAlignment="1">
      <alignment horizontal="center" vertical="center" wrapText="1"/>
    </xf>
    <xf numFmtId="0" fontId="1" fillId="0" borderId="4" xfId="0" applyFont="1" applyBorder="1" applyAlignment="1">
      <alignment horizontal="center" vertical="center"/>
    </xf>
    <xf numFmtId="0" fontId="1" fillId="0" borderId="18" xfId="0" applyFont="1" applyBorder="1" applyAlignment="1">
      <alignment horizontal="center" vertical="center"/>
    </xf>
    <xf numFmtId="0" fontId="11" fillId="0" borderId="1" xfId="0" applyFont="1" applyBorder="1" applyAlignment="1">
      <alignment horizontal="center" vertical="center" wrapText="1"/>
    </xf>
    <xf numFmtId="0" fontId="11" fillId="0" borderId="10" xfId="0" applyFont="1" applyBorder="1" applyAlignment="1">
      <alignment horizontal="center" vertical="center" wrapText="1"/>
    </xf>
    <xf numFmtId="0" fontId="9" fillId="0" borderId="32" xfId="0" applyFont="1" applyBorder="1" applyAlignment="1">
      <alignment horizontal="left" vertical="center" wrapText="1"/>
    </xf>
    <xf numFmtId="0" fontId="9" fillId="0" borderId="0" xfId="0" applyFont="1" applyAlignment="1">
      <alignment horizontal="left" vertical="center" wrapText="1"/>
    </xf>
    <xf numFmtId="0" fontId="9" fillId="0" borderId="25" xfId="0" applyFont="1" applyBorder="1" applyAlignment="1">
      <alignment horizontal="left" vertical="center" wrapText="1"/>
    </xf>
    <xf numFmtId="0" fontId="5" fillId="0" borderId="44" xfId="0" applyFont="1" applyBorder="1" applyAlignment="1">
      <alignment horizontal="left" vertical="center" wrapText="1"/>
    </xf>
    <xf numFmtId="0" fontId="5" fillId="0" borderId="23" xfId="0" applyFont="1" applyBorder="1" applyAlignment="1">
      <alignment horizontal="left" vertical="center" wrapText="1"/>
    </xf>
    <xf numFmtId="0" fontId="5" fillId="0" borderId="21" xfId="0" applyFont="1" applyBorder="1" applyAlignment="1">
      <alignment horizontal="left"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381662</xdr:colOff>
      <xdr:row>0</xdr:row>
      <xdr:rowOff>57038</xdr:rowOff>
    </xdr:from>
    <xdr:to>
      <xdr:col>2</xdr:col>
      <xdr:colOff>437029</xdr:colOff>
      <xdr:row>2</xdr:row>
      <xdr:rowOff>17901</xdr:rowOff>
    </xdr:to>
    <xdr:pic>
      <xdr:nvPicPr>
        <xdr:cNvPr id="3" name="Picture 18">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9750" y="57038"/>
          <a:ext cx="458779" cy="6332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67"/>
  <sheetViews>
    <sheetView workbookViewId="0">
      <selection activeCell="C16" sqref="C16"/>
    </sheetView>
  </sheetViews>
  <sheetFormatPr defaultRowHeight="12.75"/>
  <cols>
    <col min="1" max="1" width="16.85546875" customWidth="1"/>
    <col min="2" max="2" width="23" customWidth="1"/>
    <col min="3" max="3" width="75.140625" customWidth="1"/>
    <col min="4" max="4" width="45" bestFit="1" customWidth="1"/>
    <col min="5" max="5" width="8.7109375" bestFit="1" customWidth="1"/>
  </cols>
  <sheetData>
    <row r="1" spans="1:3" ht="15.75" thickBot="1">
      <c r="A1" s="107" t="s">
        <v>0</v>
      </c>
      <c r="B1" s="108"/>
      <c r="C1" s="108"/>
    </row>
    <row r="2" spans="1:3" ht="13.5" thickBot="1">
      <c r="A2" s="109" t="s">
        <v>1</v>
      </c>
      <c r="B2" s="109"/>
      <c r="C2" s="109"/>
    </row>
    <row r="3" spans="1:3" ht="15.75" thickBot="1">
      <c r="A3" s="10" t="s">
        <v>2</v>
      </c>
      <c r="B3" s="11" t="s">
        <v>3</v>
      </c>
      <c r="C3" s="12" t="s">
        <v>4</v>
      </c>
    </row>
    <row r="4" spans="1:3" ht="15.75" thickBot="1">
      <c r="A4" s="13">
        <v>1</v>
      </c>
      <c r="B4" s="14" t="s">
        <v>5</v>
      </c>
      <c r="C4" s="15" t="s">
        <v>6</v>
      </c>
    </row>
    <row r="5" spans="1:3" ht="29.25" thickBot="1">
      <c r="A5" s="13">
        <v>2</v>
      </c>
      <c r="B5" s="14" t="s">
        <v>7</v>
      </c>
      <c r="C5" s="15" t="s">
        <v>8</v>
      </c>
    </row>
    <row r="6" spans="1:3" ht="29.25" thickBot="1">
      <c r="A6" s="13">
        <v>3</v>
      </c>
      <c r="B6" s="14" t="s">
        <v>9</v>
      </c>
      <c r="C6" s="15" t="s">
        <v>10</v>
      </c>
    </row>
    <row r="7" spans="1:3" ht="29.25" thickBot="1">
      <c r="A7" s="13">
        <v>4</v>
      </c>
      <c r="B7" s="14" t="s">
        <v>11</v>
      </c>
      <c r="C7" s="15" t="s">
        <v>12</v>
      </c>
    </row>
    <row r="8" spans="1:3" ht="43.5" thickBot="1">
      <c r="A8" s="13">
        <v>5</v>
      </c>
      <c r="B8" s="14" t="s">
        <v>13</v>
      </c>
      <c r="C8" s="15" t="s">
        <v>14</v>
      </c>
    </row>
    <row r="9" spans="1:3" ht="15.75" thickBot="1">
      <c r="A9" s="13">
        <v>6</v>
      </c>
      <c r="B9" s="14" t="s">
        <v>15</v>
      </c>
      <c r="C9" s="15" t="s">
        <v>16</v>
      </c>
    </row>
    <row r="10" spans="1:3" ht="15.75" thickBot="1">
      <c r="A10" s="13">
        <v>7</v>
      </c>
      <c r="B10" s="14" t="s">
        <v>17</v>
      </c>
      <c r="C10" s="15" t="s">
        <v>18</v>
      </c>
    </row>
    <row r="11" spans="1:3" ht="29.25" thickBot="1">
      <c r="A11" s="13">
        <v>8</v>
      </c>
      <c r="B11" s="14" t="s">
        <v>19</v>
      </c>
      <c r="C11" s="15" t="s">
        <v>20</v>
      </c>
    </row>
    <row r="12" spans="1:3" ht="15.75" thickBot="1">
      <c r="A12" s="13">
        <v>9</v>
      </c>
      <c r="B12" s="14" t="s">
        <v>21</v>
      </c>
      <c r="C12" s="15" t="s">
        <v>22</v>
      </c>
    </row>
    <row r="13" spans="1:3" ht="29.25" thickBot="1">
      <c r="A13" s="13">
        <v>10</v>
      </c>
      <c r="B13" s="14" t="s">
        <v>23</v>
      </c>
      <c r="C13" s="15" t="s">
        <v>24</v>
      </c>
    </row>
    <row r="14" spans="1:3" ht="29.25" thickBot="1">
      <c r="A14" s="13">
        <v>11</v>
      </c>
      <c r="B14" s="14" t="s">
        <v>25</v>
      </c>
      <c r="C14" s="15" t="s">
        <v>26</v>
      </c>
    </row>
    <row r="15" spans="1:3" ht="29.25" thickBot="1">
      <c r="A15" s="13">
        <v>12</v>
      </c>
      <c r="B15" s="14" t="s">
        <v>27</v>
      </c>
      <c r="C15" s="15" t="s">
        <v>28</v>
      </c>
    </row>
    <row r="16" spans="1:3" ht="29.25" thickBot="1">
      <c r="A16" s="13">
        <v>13</v>
      </c>
      <c r="B16" s="14" t="s">
        <v>29</v>
      </c>
      <c r="C16" s="15" t="s">
        <v>30</v>
      </c>
    </row>
    <row r="17" spans="1:4" ht="43.5" thickBot="1">
      <c r="A17" s="13">
        <v>14</v>
      </c>
      <c r="B17" s="14" t="s">
        <v>31</v>
      </c>
      <c r="C17" s="15" t="s">
        <v>32</v>
      </c>
    </row>
    <row r="18" spans="1:4" ht="15.75" thickBot="1">
      <c r="A18" s="13">
        <v>15</v>
      </c>
      <c r="B18" s="14" t="s">
        <v>33</v>
      </c>
      <c r="C18" s="15" t="s">
        <v>34</v>
      </c>
    </row>
    <row r="19" spans="1:4" ht="30.75" thickBot="1">
      <c r="A19" s="13">
        <v>16</v>
      </c>
      <c r="B19" s="14" t="s">
        <v>35</v>
      </c>
      <c r="C19" s="15" t="s">
        <v>36</v>
      </c>
    </row>
    <row r="21" spans="1:4" ht="15.75" thickBot="1">
      <c r="A21" s="107" t="s">
        <v>37</v>
      </c>
      <c r="B21" s="108"/>
      <c r="C21" s="108"/>
      <c r="D21" s="108"/>
    </row>
    <row r="22" spans="1:4" ht="15" thickBot="1">
      <c r="A22" s="16" t="s">
        <v>38</v>
      </c>
      <c r="B22" s="121" t="s">
        <v>39</v>
      </c>
      <c r="C22" s="122"/>
      <c r="D22" s="83" t="s">
        <v>40</v>
      </c>
    </row>
    <row r="23" spans="1:4" ht="15" thickBot="1">
      <c r="A23" s="123" t="s">
        <v>41</v>
      </c>
      <c r="B23" s="15" t="s">
        <v>42</v>
      </c>
      <c r="C23" s="15" t="s">
        <v>43</v>
      </c>
      <c r="D23" s="84">
        <v>2</v>
      </c>
    </row>
    <row r="24" spans="1:4" ht="15" thickBot="1">
      <c r="A24" s="124"/>
      <c r="B24" s="15" t="s">
        <v>44</v>
      </c>
      <c r="C24" s="15" t="s">
        <v>45</v>
      </c>
      <c r="D24" s="16">
        <v>3</v>
      </c>
    </row>
    <row r="25" spans="1:4" ht="15" thickBot="1">
      <c r="A25" s="124"/>
      <c r="B25" s="15" t="s">
        <v>46</v>
      </c>
      <c r="C25" s="15" t="s">
        <v>47</v>
      </c>
      <c r="D25" s="84">
        <v>4</v>
      </c>
    </row>
    <row r="26" spans="1:4" ht="15" thickBot="1">
      <c r="A26" s="125"/>
      <c r="B26" s="15" t="s">
        <v>48</v>
      </c>
      <c r="C26" s="15" t="s">
        <v>49</v>
      </c>
      <c r="D26" s="16">
        <v>5</v>
      </c>
    </row>
    <row r="28" spans="1:4" ht="15.75" thickBot="1">
      <c r="A28" s="107" t="s">
        <v>50</v>
      </c>
      <c r="B28" s="108"/>
      <c r="C28" s="108"/>
      <c r="D28" s="108"/>
    </row>
    <row r="29" spans="1:4" ht="15" thickBot="1">
      <c r="A29" s="16" t="s">
        <v>38</v>
      </c>
      <c r="B29" s="91"/>
      <c r="C29" s="16" t="s">
        <v>39</v>
      </c>
      <c r="D29" s="16" t="s">
        <v>40</v>
      </c>
    </row>
    <row r="30" spans="1:4" ht="15" thickBot="1">
      <c r="A30" s="123" t="s">
        <v>51</v>
      </c>
      <c r="B30" s="15" t="s">
        <v>52</v>
      </c>
      <c r="C30" s="15" t="s">
        <v>53</v>
      </c>
      <c r="D30" s="84">
        <v>2</v>
      </c>
    </row>
    <row r="31" spans="1:4" ht="15" thickBot="1">
      <c r="A31" s="124"/>
      <c r="B31" s="15" t="s">
        <v>54</v>
      </c>
      <c r="C31" s="15" t="s">
        <v>55</v>
      </c>
      <c r="D31" s="16">
        <v>3</v>
      </c>
    </row>
    <row r="32" spans="1:4" ht="15" thickBot="1">
      <c r="A32" s="124"/>
      <c r="B32" s="15" t="s">
        <v>56</v>
      </c>
      <c r="C32" s="15" t="s">
        <v>57</v>
      </c>
      <c r="D32" s="84">
        <v>4</v>
      </c>
    </row>
    <row r="33" spans="1:5" ht="29.25" thickBot="1">
      <c r="A33" s="125"/>
      <c r="B33" s="15" t="s">
        <v>58</v>
      </c>
      <c r="C33" s="15" t="s">
        <v>59</v>
      </c>
      <c r="D33" s="16">
        <v>5</v>
      </c>
    </row>
    <row r="34" spans="1:5" ht="13.5" thickBot="1"/>
    <row r="35" spans="1:5" ht="15">
      <c r="A35" s="129" t="s">
        <v>60</v>
      </c>
      <c r="B35" s="130"/>
      <c r="C35" s="130"/>
      <c r="D35" s="130"/>
      <c r="E35" s="131"/>
    </row>
    <row r="36" spans="1:5" ht="29.25" thickBot="1">
      <c r="A36" s="38" t="s">
        <v>61</v>
      </c>
      <c r="B36" s="39" t="s">
        <v>62</v>
      </c>
      <c r="C36" s="39" t="s">
        <v>63</v>
      </c>
      <c r="D36" s="39" t="s">
        <v>64</v>
      </c>
      <c r="E36" s="40" t="s">
        <v>65</v>
      </c>
    </row>
    <row r="37" spans="1:5">
      <c r="A37" s="132" t="s">
        <v>66</v>
      </c>
      <c r="B37" s="134" t="s">
        <v>67</v>
      </c>
      <c r="C37" s="134" t="s">
        <v>68</v>
      </c>
      <c r="D37" s="134" t="s">
        <v>69</v>
      </c>
      <c r="E37" s="136">
        <v>2</v>
      </c>
    </row>
    <row r="38" spans="1:5">
      <c r="A38" s="133"/>
      <c r="B38" s="135"/>
      <c r="C38" s="135"/>
      <c r="D38" s="135"/>
      <c r="E38" s="115"/>
    </row>
    <row r="39" spans="1:5" ht="28.5">
      <c r="A39" s="85" t="s">
        <v>70</v>
      </c>
      <c r="B39" s="86" t="s">
        <v>71</v>
      </c>
      <c r="C39" s="86" t="s">
        <v>72</v>
      </c>
      <c r="D39" s="86" t="s">
        <v>73</v>
      </c>
      <c r="E39" s="87">
        <v>3</v>
      </c>
    </row>
    <row r="40" spans="1:5" ht="28.5" customHeight="1">
      <c r="A40" s="85" t="s">
        <v>74</v>
      </c>
      <c r="B40" s="86" t="s">
        <v>75</v>
      </c>
      <c r="C40" s="86" t="s">
        <v>76</v>
      </c>
      <c r="D40" s="86" t="s">
        <v>77</v>
      </c>
      <c r="E40" s="87">
        <v>4</v>
      </c>
    </row>
    <row r="41" spans="1:5" ht="28.5" customHeight="1" thickBot="1">
      <c r="A41" s="36" t="s">
        <v>78</v>
      </c>
      <c r="B41" s="37" t="s">
        <v>79</v>
      </c>
      <c r="C41" s="37" t="s">
        <v>80</v>
      </c>
      <c r="D41" s="37" t="s">
        <v>81</v>
      </c>
      <c r="E41" s="88">
        <v>5</v>
      </c>
    </row>
    <row r="42" spans="1:5" ht="13.5" thickBot="1"/>
    <row r="43" spans="1:5" ht="15.75" customHeight="1" thickBot="1">
      <c r="A43" s="116" t="s">
        <v>82</v>
      </c>
      <c r="B43" s="117"/>
      <c r="C43" s="118"/>
    </row>
    <row r="44" spans="1:5" ht="30.75" thickBot="1">
      <c r="A44" s="18" t="s">
        <v>38</v>
      </c>
      <c r="B44" s="19" t="s">
        <v>83</v>
      </c>
      <c r="C44" s="19" t="s">
        <v>40</v>
      </c>
    </row>
    <row r="45" spans="1:5" ht="15" thickBot="1">
      <c r="A45" s="126" t="s">
        <v>51</v>
      </c>
      <c r="B45" s="17" t="s">
        <v>84</v>
      </c>
      <c r="C45" s="17">
        <v>2</v>
      </c>
    </row>
    <row r="46" spans="1:5" ht="15" thickBot="1">
      <c r="A46" s="127"/>
      <c r="B46" s="20">
        <v>42804</v>
      </c>
      <c r="C46" s="17">
        <v>3</v>
      </c>
    </row>
    <row r="47" spans="1:5" ht="15" thickBot="1">
      <c r="A47" s="127"/>
      <c r="B47" s="17" t="s">
        <v>85</v>
      </c>
      <c r="C47" s="17">
        <v>4</v>
      </c>
    </row>
    <row r="48" spans="1:5" ht="15" thickBot="1">
      <c r="A48" s="128"/>
      <c r="B48" s="17" t="s">
        <v>86</v>
      </c>
      <c r="C48" s="17">
        <v>5</v>
      </c>
    </row>
    <row r="49" spans="1:3" ht="13.5" thickBot="1"/>
    <row r="50" spans="1:3" ht="15.75" thickBot="1">
      <c r="A50" s="116" t="s">
        <v>87</v>
      </c>
      <c r="B50" s="117"/>
      <c r="C50" s="118"/>
    </row>
    <row r="51" spans="1:3" ht="15">
      <c r="A51" s="41" t="s">
        <v>88</v>
      </c>
      <c r="B51" s="89"/>
      <c r="C51" s="90" t="s">
        <v>89</v>
      </c>
    </row>
    <row r="52" spans="1:3" ht="14.25">
      <c r="A52" s="45" t="s">
        <v>90</v>
      </c>
      <c r="B52" s="119" t="s">
        <v>91</v>
      </c>
      <c r="C52" s="87" t="s">
        <v>92</v>
      </c>
    </row>
    <row r="53" spans="1:3" ht="14.25">
      <c r="A53" s="45" t="s">
        <v>93</v>
      </c>
      <c r="B53" s="119"/>
      <c r="C53" s="87" t="s">
        <v>94</v>
      </c>
    </row>
    <row r="54" spans="1:3" ht="14.25">
      <c r="A54" s="45" t="s">
        <v>95</v>
      </c>
      <c r="B54" s="119" t="s">
        <v>96</v>
      </c>
      <c r="C54" s="87" t="s">
        <v>97</v>
      </c>
    </row>
    <row r="55" spans="1:3" ht="14.25">
      <c r="A55" s="45" t="s">
        <v>98</v>
      </c>
      <c r="B55" s="119"/>
      <c r="C55" s="87" t="s">
        <v>99</v>
      </c>
    </row>
    <row r="56" spans="1:3" ht="15" thickBot="1">
      <c r="A56" s="46" t="s">
        <v>100</v>
      </c>
      <c r="B56" s="120"/>
      <c r="C56" s="88" t="s">
        <v>101</v>
      </c>
    </row>
    <row r="57" spans="1:3" ht="15">
      <c r="A57" s="48"/>
      <c r="B57" s="49"/>
      <c r="C57" s="48"/>
    </row>
    <row r="58" spans="1:3" ht="15">
      <c r="A58" s="48"/>
      <c r="B58" s="49"/>
      <c r="C58" s="48"/>
    </row>
    <row r="60" spans="1:3" ht="13.5" thickBot="1"/>
    <row r="61" spans="1:3" ht="15.75" thickBot="1">
      <c r="A61" s="116" t="s">
        <v>102</v>
      </c>
      <c r="B61" s="117"/>
      <c r="C61" s="118"/>
    </row>
    <row r="62" spans="1:3" ht="15">
      <c r="A62" s="41" t="s">
        <v>88</v>
      </c>
      <c r="B62" s="110" t="s">
        <v>103</v>
      </c>
      <c r="C62" s="111"/>
    </row>
    <row r="63" spans="1:3" ht="15">
      <c r="A63" s="42" t="s">
        <v>104</v>
      </c>
      <c r="B63" s="112" t="s">
        <v>105</v>
      </c>
      <c r="C63" s="113"/>
    </row>
    <row r="64" spans="1:3" ht="27" customHeight="1">
      <c r="A64" s="35" t="s">
        <v>106</v>
      </c>
      <c r="B64" s="114" t="s">
        <v>107</v>
      </c>
      <c r="C64" s="115"/>
    </row>
    <row r="65" spans="1:3" ht="15">
      <c r="A65" s="43" t="s">
        <v>108</v>
      </c>
      <c r="B65" s="114" t="s">
        <v>109</v>
      </c>
      <c r="C65" s="115"/>
    </row>
    <row r="66" spans="1:3" ht="33" customHeight="1">
      <c r="A66" s="43" t="s">
        <v>110</v>
      </c>
      <c r="B66" s="114" t="s">
        <v>111</v>
      </c>
      <c r="C66" s="115"/>
    </row>
    <row r="67" spans="1:3" ht="29.25" customHeight="1" thickBot="1">
      <c r="A67" s="44" t="s">
        <v>112</v>
      </c>
      <c r="B67" s="105" t="s">
        <v>113</v>
      </c>
      <c r="C67" s="106"/>
    </row>
  </sheetData>
  <mergeCells count="25">
    <mergeCell ref="A30:A33"/>
    <mergeCell ref="A45:A48"/>
    <mergeCell ref="A43:C43"/>
    <mergeCell ref="A35:E35"/>
    <mergeCell ref="A37:A38"/>
    <mergeCell ref="B37:B38"/>
    <mergeCell ref="C37:C38"/>
    <mergeCell ref="D37:D38"/>
    <mergeCell ref="E37:E38"/>
    <mergeCell ref="B67:C67"/>
    <mergeCell ref="A1:C1"/>
    <mergeCell ref="A2:C2"/>
    <mergeCell ref="A21:D21"/>
    <mergeCell ref="A28:D28"/>
    <mergeCell ref="B62:C62"/>
    <mergeCell ref="B63:C63"/>
    <mergeCell ref="B64:C64"/>
    <mergeCell ref="B65:C65"/>
    <mergeCell ref="B66:C66"/>
    <mergeCell ref="A50:C50"/>
    <mergeCell ref="B52:B53"/>
    <mergeCell ref="B54:B56"/>
    <mergeCell ref="A61:C61"/>
    <mergeCell ref="B22:C22"/>
    <mergeCell ref="A23:A26"/>
  </mergeCells>
  <phoneticPr fontId="2" type="noConversion"/>
  <pageMargins left="0.25" right="0.25" top="0.75" bottom="0.75" header="0.3" footer="0.3"/>
  <pageSetup paperSize="9" scale="57"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K43"/>
  <sheetViews>
    <sheetView topLeftCell="A10" zoomScale="85" zoomScaleNormal="85" workbookViewId="0">
      <selection activeCell="E15" sqref="E15:H15"/>
    </sheetView>
  </sheetViews>
  <sheetFormatPr defaultRowHeight="12.75"/>
  <cols>
    <col min="1" max="1" width="2.5703125" customWidth="1"/>
    <col min="2" max="2" width="6" customWidth="1"/>
    <col min="3" max="3" width="11.7109375" customWidth="1"/>
    <col min="4" max="4" width="23" bestFit="1" customWidth="1"/>
    <col min="7" max="7" width="14.28515625" customWidth="1"/>
    <col min="9" max="9" width="15" customWidth="1"/>
    <col min="10" max="10" width="12" customWidth="1"/>
    <col min="11" max="11" width="12.85546875" customWidth="1"/>
  </cols>
  <sheetData>
    <row r="1" spans="1:11" ht="26.25">
      <c r="B1" s="176"/>
      <c r="C1" s="177"/>
      <c r="D1" s="180" t="s">
        <v>114</v>
      </c>
      <c r="E1" s="181"/>
      <c r="F1" s="181"/>
      <c r="G1" s="182"/>
      <c r="H1" s="186" t="s">
        <v>115</v>
      </c>
      <c r="I1" s="187"/>
      <c r="J1" s="168"/>
      <c r="K1" s="169"/>
    </row>
    <row r="2" spans="1:11" ht="26.25">
      <c r="B2" s="178"/>
      <c r="C2" s="179"/>
      <c r="D2" s="183"/>
      <c r="E2" s="184"/>
      <c r="F2" s="184"/>
      <c r="G2" s="185"/>
      <c r="H2" s="170" t="s">
        <v>116</v>
      </c>
      <c r="I2" s="171"/>
      <c r="J2" s="172"/>
      <c r="K2" s="173"/>
    </row>
    <row r="3" spans="1:11" ht="26.25">
      <c r="B3" s="178"/>
      <c r="C3" s="179"/>
      <c r="D3" s="183"/>
      <c r="E3" s="184"/>
      <c r="F3" s="184"/>
      <c r="G3" s="185"/>
      <c r="H3" s="170" t="s">
        <v>117</v>
      </c>
      <c r="I3" s="171"/>
      <c r="J3" s="174"/>
      <c r="K3" s="175"/>
    </row>
    <row r="4" spans="1:11" ht="18.75">
      <c r="B4" s="164" t="s">
        <v>118</v>
      </c>
      <c r="C4" s="165"/>
      <c r="D4" s="165"/>
      <c r="E4" s="165"/>
      <c r="F4" s="165" t="s">
        <v>119</v>
      </c>
      <c r="G4" s="165"/>
      <c r="H4" s="165"/>
      <c r="I4" s="165"/>
      <c r="J4" s="165"/>
      <c r="K4" s="166"/>
    </row>
    <row r="5" spans="1:11" ht="72">
      <c r="A5" s="21"/>
      <c r="B5" s="22" t="s">
        <v>120</v>
      </c>
      <c r="C5" s="92" t="s">
        <v>121</v>
      </c>
      <c r="D5" s="92" t="s">
        <v>122</v>
      </c>
      <c r="E5" s="167" t="s">
        <v>123</v>
      </c>
      <c r="F5" s="167"/>
      <c r="G5" s="167"/>
      <c r="H5" s="167"/>
      <c r="I5" s="92" t="s">
        <v>124</v>
      </c>
      <c r="J5" s="92" t="s">
        <v>125</v>
      </c>
      <c r="K5" s="23" t="s">
        <v>126</v>
      </c>
    </row>
    <row r="6" spans="1:11">
      <c r="B6" s="24">
        <v>1</v>
      </c>
      <c r="C6" s="50" t="s">
        <v>127</v>
      </c>
      <c r="D6" s="50" t="s">
        <v>128</v>
      </c>
      <c r="E6" s="156" t="s">
        <v>129</v>
      </c>
      <c r="F6" s="157"/>
      <c r="G6" s="157"/>
      <c r="H6" s="158"/>
      <c r="I6" s="65" t="s">
        <v>130</v>
      </c>
      <c r="J6" s="79"/>
      <c r="K6" s="26"/>
    </row>
    <row r="7" spans="1:11">
      <c r="B7" s="24">
        <v>2</v>
      </c>
      <c r="C7" s="50" t="s">
        <v>127</v>
      </c>
      <c r="D7" s="50" t="s">
        <v>131</v>
      </c>
      <c r="E7" s="156" t="s">
        <v>132</v>
      </c>
      <c r="F7" s="157"/>
      <c r="G7" s="157"/>
      <c r="H7" s="158"/>
      <c r="I7" s="65" t="s">
        <v>130</v>
      </c>
      <c r="J7" s="79"/>
      <c r="K7" s="26"/>
    </row>
    <row r="8" spans="1:11">
      <c r="B8" s="24">
        <v>3</v>
      </c>
      <c r="C8" s="50" t="s">
        <v>127</v>
      </c>
      <c r="D8" s="50" t="s">
        <v>133</v>
      </c>
      <c r="E8" s="156" t="s">
        <v>134</v>
      </c>
      <c r="F8" s="157"/>
      <c r="G8" s="157"/>
      <c r="H8" s="158"/>
      <c r="I8" s="65" t="s">
        <v>130</v>
      </c>
      <c r="J8" s="79"/>
      <c r="K8" s="26"/>
    </row>
    <row r="9" spans="1:11">
      <c r="B9" s="24">
        <v>4</v>
      </c>
      <c r="C9" s="50" t="s">
        <v>127</v>
      </c>
      <c r="D9" s="25"/>
      <c r="E9" s="156" t="s">
        <v>135</v>
      </c>
      <c r="F9" s="157"/>
      <c r="G9" s="157"/>
      <c r="H9" s="158"/>
      <c r="I9" s="65" t="s">
        <v>130</v>
      </c>
      <c r="J9" s="79"/>
      <c r="K9" s="26"/>
    </row>
    <row r="10" spans="1:11" ht="51">
      <c r="B10" s="24">
        <v>5</v>
      </c>
      <c r="C10" s="50" t="s">
        <v>127</v>
      </c>
      <c r="D10" s="67" t="s">
        <v>136</v>
      </c>
      <c r="E10" s="156" t="s">
        <v>137</v>
      </c>
      <c r="F10" s="157"/>
      <c r="G10" s="157"/>
      <c r="H10" s="158"/>
      <c r="I10" s="65" t="s">
        <v>130</v>
      </c>
      <c r="J10" s="79"/>
      <c r="K10" s="26"/>
    </row>
    <row r="11" spans="1:11">
      <c r="B11" s="24">
        <v>6</v>
      </c>
      <c r="C11" s="50" t="s">
        <v>127</v>
      </c>
      <c r="D11" s="25" t="s">
        <v>128</v>
      </c>
      <c r="E11" s="156" t="s">
        <v>138</v>
      </c>
      <c r="F11" s="157"/>
      <c r="G11" s="157"/>
      <c r="H11" s="158"/>
      <c r="I11" s="65" t="s">
        <v>130</v>
      </c>
      <c r="J11" s="79"/>
      <c r="K11" s="26"/>
    </row>
    <row r="12" spans="1:11" ht="25.5">
      <c r="B12" s="24">
        <v>7</v>
      </c>
      <c r="C12" s="50" t="s">
        <v>127</v>
      </c>
      <c r="D12" s="31" t="s">
        <v>139</v>
      </c>
      <c r="E12" s="156" t="s">
        <v>140</v>
      </c>
      <c r="F12" s="157"/>
      <c r="G12" s="157"/>
      <c r="H12" s="158"/>
      <c r="I12" s="65" t="s">
        <v>130</v>
      </c>
      <c r="J12" s="79"/>
      <c r="K12" s="26"/>
    </row>
    <row r="13" spans="1:11">
      <c r="B13" s="24">
        <v>8</v>
      </c>
      <c r="C13" s="50" t="s">
        <v>127</v>
      </c>
      <c r="D13" s="25" t="s">
        <v>141</v>
      </c>
      <c r="E13" s="156" t="s">
        <v>142</v>
      </c>
      <c r="F13" s="157"/>
      <c r="G13" s="157"/>
      <c r="H13" s="158"/>
      <c r="I13" s="65" t="s">
        <v>130</v>
      </c>
      <c r="J13" s="79"/>
      <c r="K13" s="26"/>
    </row>
    <row r="14" spans="1:11">
      <c r="B14" s="24">
        <v>9</v>
      </c>
      <c r="C14" s="50" t="s">
        <v>127</v>
      </c>
      <c r="D14" s="25" t="s">
        <v>143</v>
      </c>
      <c r="E14" s="156" t="s">
        <v>144</v>
      </c>
      <c r="F14" s="157"/>
      <c r="G14" s="157"/>
      <c r="H14" s="158"/>
      <c r="I14" s="65" t="s">
        <v>130</v>
      </c>
      <c r="J14" s="79"/>
      <c r="K14" s="26"/>
    </row>
    <row r="15" spans="1:11">
      <c r="B15" s="24">
        <v>10</v>
      </c>
      <c r="C15" s="50" t="s">
        <v>127</v>
      </c>
      <c r="D15" s="25" t="s">
        <v>145</v>
      </c>
      <c r="E15" s="156" t="s">
        <v>146</v>
      </c>
      <c r="F15" s="157"/>
      <c r="G15" s="157"/>
      <c r="H15" s="158"/>
      <c r="I15" s="65" t="s">
        <v>130</v>
      </c>
      <c r="J15" s="79"/>
      <c r="K15" s="26"/>
    </row>
    <row r="16" spans="1:11">
      <c r="B16" s="24">
        <v>11</v>
      </c>
      <c r="C16" s="50" t="s">
        <v>127</v>
      </c>
      <c r="D16" s="25" t="s">
        <v>147</v>
      </c>
      <c r="E16" s="156" t="s">
        <v>148</v>
      </c>
      <c r="F16" s="157"/>
      <c r="G16" s="157"/>
      <c r="H16" s="158"/>
      <c r="I16" s="65" t="s">
        <v>130</v>
      </c>
      <c r="J16" s="79"/>
      <c r="K16" s="26"/>
    </row>
    <row r="17" spans="2:11">
      <c r="B17" s="24">
        <v>12</v>
      </c>
      <c r="C17" s="50" t="s">
        <v>127</v>
      </c>
      <c r="D17" s="25" t="s">
        <v>149</v>
      </c>
      <c r="E17" s="156" t="s">
        <v>150</v>
      </c>
      <c r="F17" s="157"/>
      <c r="G17" s="157"/>
      <c r="H17" s="158"/>
      <c r="I17" s="65" t="s">
        <v>130</v>
      </c>
      <c r="J17" s="79"/>
      <c r="K17" s="26"/>
    </row>
    <row r="18" spans="2:11">
      <c r="B18" s="24">
        <v>13</v>
      </c>
      <c r="C18" s="50" t="s">
        <v>127</v>
      </c>
      <c r="D18" s="25" t="s">
        <v>151</v>
      </c>
      <c r="E18" s="156" t="s">
        <v>152</v>
      </c>
      <c r="F18" s="157"/>
      <c r="G18" s="157"/>
      <c r="H18" s="158"/>
      <c r="I18" s="65" t="s">
        <v>130</v>
      </c>
      <c r="J18" s="79"/>
      <c r="K18" s="26"/>
    </row>
    <row r="19" spans="2:11">
      <c r="B19" s="24">
        <v>14</v>
      </c>
      <c r="C19" s="50" t="s">
        <v>127</v>
      </c>
      <c r="D19" s="50" t="s">
        <v>153</v>
      </c>
      <c r="E19" s="156" t="s">
        <v>154</v>
      </c>
      <c r="F19" s="157"/>
      <c r="G19" s="157"/>
      <c r="H19" s="158"/>
      <c r="I19" s="65" t="s">
        <v>130</v>
      </c>
      <c r="J19" s="79"/>
      <c r="K19" s="66" t="s">
        <v>155</v>
      </c>
    </row>
    <row r="20" spans="2:11">
      <c r="B20" s="24">
        <v>15</v>
      </c>
      <c r="C20" s="50" t="s">
        <v>127</v>
      </c>
      <c r="D20" s="25" t="s">
        <v>156</v>
      </c>
      <c r="E20" s="156" t="s">
        <v>157</v>
      </c>
      <c r="F20" s="157"/>
      <c r="G20" s="157"/>
      <c r="H20" s="158"/>
      <c r="I20" s="65" t="s">
        <v>130</v>
      </c>
      <c r="J20" s="79"/>
      <c r="K20" s="26"/>
    </row>
    <row r="21" spans="2:11">
      <c r="B21" s="24">
        <v>16</v>
      </c>
      <c r="C21" s="50" t="s">
        <v>127</v>
      </c>
      <c r="D21" s="25" t="s">
        <v>128</v>
      </c>
      <c r="E21" s="156" t="s">
        <v>158</v>
      </c>
      <c r="F21" s="157"/>
      <c r="G21" s="157"/>
      <c r="H21" s="158"/>
      <c r="I21" s="65" t="s">
        <v>130</v>
      </c>
      <c r="J21" s="79"/>
      <c r="K21" s="26"/>
    </row>
    <row r="22" spans="2:11">
      <c r="B22" s="24">
        <v>17</v>
      </c>
      <c r="C22" s="50" t="s">
        <v>127</v>
      </c>
      <c r="D22" s="25" t="s">
        <v>159</v>
      </c>
      <c r="E22" s="156" t="s">
        <v>160</v>
      </c>
      <c r="F22" s="157"/>
      <c r="G22" s="157"/>
      <c r="H22" s="158"/>
      <c r="I22" s="65" t="s">
        <v>130</v>
      </c>
      <c r="J22" s="79"/>
      <c r="K22" s="26"/>
    </row>
    <row r="23" spans="2:11">
      <c r="B23" s="24">
        <v>18</v>
      </c>
      <c r="C23" s="50" t="s">
        <v>127</v>
      </c>
      <c r="D23" s="25" t="s">
        <v>128</v>
      </c>
      <c r="E23" s="156" t="s">
        <v>161</v>
      </c>
      <c r="F23" s="157"/>
      <c r="G23" s="157"/>
      <c r="H23" s="158"/>
      <c r="I23" s="65" t="s">
        <v>130</v>
      </c>
      <c r="J23" s="79"/>
      <c r="K23" s="26"/>
    </row>
    <row r="24" spans="2:11">
      <c r="B24" s="24">
        <v>19</v>
      </c>
      <c r="C24" s="50" t="s">
        <v>127</v>
      </c>
      <c r="D24" s="25" t="s">
        <v>162</v>
      </c>
      <c r="E24" s="156" t="s">
        <v>163</v>
      </c>
      <c r="F24" s="157"/>
      <c r="G24" s="157"/>
      <c r="H24" s="158"/>
      <c r="I24" s="65" t="s">
        <v>164</v>
      </c>
      <c r="J24" s="79"/>
      <c r="K24" s="26"/>
    </row>
    <row r="25" spans="2:11">
      <c r="B25" s="24">
        <v>20</v>
      </c>
      <c r="C25" s="50" t="s">
        <v>127</v>
      </c>
      <c r="D25" s="25" t="s">
        <v>165</v>
      </c>
      <c r="E25" s="156" t="s">
        <v>166</v>
      </c>
      <c r="F25" s="157"/>
      <c r="G25" s="157"/>
      <c r="H25" s="158"/>
      <c r="I25" s="65" t="s">
        <v>164</v>
      </c>
      <c r="J25" s="79"/>
      <c r="K25" s="26"/>
    </row>
    <row r="26" spans="2:11">
      <c r="B26" s="24">
        <v>21</v>
      </c>
      <c r="C26" s="50" t="s">
        <v>127</v>
      </c>
      <c r="D26" s="25" t="s">
        <v>167</v>
      </c>
      <c r="E26" s="156" t="s">
        <v>168</v>
      </c>
      <c r="F26" s="157"/>
      <c r="G26" s="157"/>
      <c r="H26" s="158"/>
      <c r="I26" s="65" t="s">
        <v>164</v>
      </c>
      <c r="J26" s="79"/>
      <c r="K26" s="26"/>
    </row>
    <row r="27" spans="2:11">
      <c r="B27" s="24">
        <v>22</v>
      </c>
      <c r="C27" s="50" t="s">
        <v>127</v>
      </c>
      <c r="D27" s="25"/>
      <c r="E27" s="156" t="s">
        <v>169</v>
      </c>
      <c r="F27" s="157"/>
      <c r="G27" s="157"/>
      <c r="H27" s="158"/>
      <c r="I27" s="65" t="s">
        <v>164</v>
      </c>
      <c r="J27" s="79"/>
      <c r="K27" s="26"/>
    </row>
    <row r="28" spans="2:11">
      <c r="B28" s="24">
        <v>23</v>
      </c>
      <c r="C28" s="50" t="s">
        <v>127</v>
      </c>
      <c r="D28" s="25" t="s">
        <v>170</v>
      </c>
      <c r="E28" s="156" t="s">
        <v>171</v>
      </c>
      <c r="F28" s="157"/>
      <c r="G28" s="157"/>
      <c r="H28" s="158"/>
      <c r="I28" s="65" t="s">
        <v>164</v>
      </c>
      <c r="J28" s="79"/>
      <c r="K28" s="26"/>
    </row>
    <row r="29" spans="2:11">
      <c r="B29" s="24">
        <v>24</v>
      </c>
      <c r="C29" s="50" t="s">
        <v>127</v>
      </c>
      <c r="D29" s="25"/>
      <c r="E29" s="156" t="s">
        <v>172</v>
      </c>
      <c r="F29" s="157"/>
      <c r="G29" s="157"/>
      <c r="H29" s="158"/>
      <c r="I29" s="65" t="s">
        <v>164</v>
      </c>
      <c r="J29" s="79"/>
      <c r="K29" s="26"/>
    </row>
    <row r="30" spans="2:11">
      <c r="B30" s="24">
        <v>25</v>
      </c>
      <c r="C30" s="50" t="s">
        <v>127</v>
      </c>
      <c r="D30" s="50" t="s">
        <v>128</v>
      </c>
      <c r="E30" s="156" t="s">
        <v>173</v>
      </c>
      <c r="F30" s="157"/>
      <c r="G30" s="157"/>
      <c r="H30" s="158"/>
      <c r="I30" s="65" t="s">
        <v>174</v>
      </c>
      <c r="J30" s="79"/>
      <c r="K30" s="26"/>
    </row>
    <row r="31" spans="2:11" ht="13.5" thickBot="1">
      <c r="B31" s="24">
        <v>26</v>
      </c>
      <c r="C31" s="50" t="s">
        <v>127</v>
      </c>
      <c r="D31" s="27"/>
      <c r="E31" s="159" t="s">
        <v>175</v>
      </c>
      <c r="F31" s="160"/>
      <c r="G31" s="160"/>
      <c r="H31" s="161"/>
      <c r="I31" s="65" t="s">
        <v>174</v>
      </c>
      <c r="J31" s="56"/>
      <c r="K31" s="28"/>
    </row>
    <row r="33" spans="2:11" ht="18.75">
      <c r="B33" s="162"/>
      <c r="C33" s="162"/>
      <c r="D33" s="93" t="s">
        <v>176</v>
      </c>
      <c r="E33" s="163" t="s">
        <v>177</v>
      </c>
      <c r="F33" s="163"/>
      <c r="G33" s="163" t="s">
        <v>178</v>
      </c>
      <c r="H33" s="163"/>
      <c r="I33" s="29" t="s">
        <v>179</v>
      </c>
      <c r="J33" s="154" t="s">
        <v>180</v>
      </c>
      <c r="K33" s="155"/>
    </row>
    <row r="34" spans="2:11" ht="18.75">
      <c r="B34" s="146" t="s">
        <v>181</v>
      </c>
      <c r="C34" s="146"/>
      <c r="D34" s="25"/>
      <c r="E34" s="147"/>
      <c r="F34" s="147"/>
      <c r="G34" s="147"/>
      <c r="H34" s="147"/>
      <c r="I34" s="148"/>
      <c r="J34" s="150"/>
      <c r="K34" s="151"/>
    </row>
    <row r="35" spans="2:11" ht="18.75">
      <c r="B35" s="146" t="s">
        <v>182</v>
      </c>
      <c r="C35" s="146"/>
      <c r="D35" s="25"/>
      <c r="E35" s="147"/>
      <c r="F35" s="147"/>
      <c r="G35" s="147"/>
      <c r="H35" s="147"/>
      <c r="I35" s="149"/>
      <c r="J35" s="152"/>
      <c r="K35" s="153"/>
    </row>
    <row r="37" spans="2:11" ht="18.75">
      <c r="B37" s="140" t="s">
        <v>183</v>
      </c>
      <c r="C37" s="141"/>
      <c r="D37" s="141"/>
      <c r="E37" s="141"/>
      <c r="F37" s="141"/>
      <c r="G37" s="141"/>
      <c r="H37" s="141"/>
      <c r="I37" s="141"/>
      <c r="J37" s="141"/>
      <c r="K37" s="142"/>
    </row>
    <row r="38" spans="2:11" ht="18.75">
      <c r="B38" s="143" t="s">
        <v>184</v>
      </c>
      <c r="C38" s="144"/>
      <c r="D38" s="144"/>
      <c r="E38" s="144"/>
      <c r="F38" s="144"/>
      <c r="G38" s="144"/>
      <c r="H38" s="144"/>
      <c r="I38" s="144"/>
      <c r="J38" s="144"/>
      <c r="K38" s="145"/>
    </row>
    <row r="39" spans="2:11" ht="18.75">
      <c r="B39" s="143" t="s">
        <v>185</v>
      </c>
      <c r="C39" s="144"/>
      <c r="D39" s="144"/>
      <c r="E39" s="144"/>
      <c r="F39" s="144"/>
      <c r="G39" s="144"/>
      <c r="H39" s="144"/>
      <c r="I39" s="144"/>
      <c r="J39" s="144"/>
      <c r="K39" s="145"/>
    </row>
    <row r="40" spans="2:11" ht="18.75">
      <c r="B40" s="143" t="s">
        <v>186</v>
      </c>
      <c r="C40" s="144"/>
      <c r="D40" s="144"/>
      <c r="E40" s="144"/>
      <c r="F40" s="144"/>
      <c r="G40" s="144"/>
      <c r="H40" s="144"/>
      <c r="I40" s="144"/>
      <c r="J40" s="144"/>
      <c r="K40" s="145"/>
    </row>
    <row r="41" spans="2:11" ht="18.75">
      <c r="B41" s="143" t="s">
        <v>187</v>
      </c>
      <c r="C41" s="144"/>
      <c r="D41" s="144"/>
      <c r="E41" s="144"/>
      <c r="F41" s="144"/>
      <c r="G41" s="144"/>
      <c r="H41" s="144"/>
      <c r="I41" s="144"/>
      <c r="J41" s="144"/>
      <c r="K41" s="145"/>
    </row>
    <row r="42" spans="2:11" ht="18.75">
      <c r="B42" s="143" t="s">
        <v>188</v>
      </c>
      <c r="C42" s="144"/>
      <c r="D42" s="144"/>
      <c r="E42" s="144"/>
      <c r="F42" s="144"/>
      <c r="G42" s="144"/>
      <c r="H42" s="144"/>
      <c r="I42" s="144"/>
      <c r="J42" s="144"/>
      <c r="K42" s="145"/>
    </row>
    <row r="43" spans="2:11" ht="18.75">
      <c r="B43" s="137" t="s">
        <v>189</v>
      </c>
      <c r="C43" s="138"/>
      <c r="D43" s="138"/>
      <c r="E43" s="138"/>
      <c r="F43" s="138"/>
      <c r="G43" s="138"/>
      <c r="H43" s="138"/>
      <c r="I43" s="138"/>
      <c r="J43" s="138"/>
      <c r="K43" s="139"/>
    </row>
  </sheetData>
  <mergeCells count="56">
    <mergeCell ref="E17:H17"/>
    <mergeCell ref="E18:H18"/>
    <mergeCell ref="E19:H19"/>
    <mergeCell ref="E20:H20"/>
    <mergeCell ref="B1:C3"/>
    <mergeCell ref="D1:G3"/>
    <mergeCell ref="H1:I1"/>
    <mergeCell ref="J1:K1"/>
    <mergeCell ref="H2:I2"/>
    <mergeCell ref="J2:K2"/>
    <mergeCell ref="H3:I3"/>
    <mergeCell ref="J3:K3"/>
    <mergeCell ref="E22:H22"/>
    <mergeCell ref="B4:E4"/>
    <mergeCell ref="F4:K4"/>
    <mergeCell ref="E5:H5"/>
    <mergeCell ref="E6:H6"/>
    <mergeCell ref="E7:H7"/>
    <mergeCell ref="E8:H8"/>
    <mergeCell ref="E9:H9"/>
    <mergeCell ref="E10:H10"/>
    <mergeCell ref="E11:H11"/>
    <mergeCell ref="E12:H12"/>
    <mergeCell ref="E21:H21"/>
    <mergeCell ref="E13:H13"/>
    <mergeCell ref="E14:H14"/>
    <mergeCell ref="E15:H15"/>
    <mergeCell ref="E16:H16"/>
    <mergeCell ref="J33:K33"/>
    <mergeCell ref="E23:H23"/>
    <mergeCell ref="E30:H30"/>
    <mergeCell ref="E31:H31"/>
    <mergeCell ref="B33:C33"/>
    <mergeCell ref="E33:F33"/>
    <mergeCell ref="G33:H33"/>
    <mergeCell ref="E24:H24"/>
    <mergeCell ref="E25:H25"/>
    <mergeCell ref="E26:H26"/>
    <mergeCell ref="E27:H27"/>
    <mergeCell ref="E28:H28"/>
    <mergeCell ref="E29:H29"/>
    <mergeCell ref="B34:C34"/>
    <mergeCell ref="E34:F34"/>
    <mergeCell ref="G34:H34"/>
    <mergeCell ref="I34:I35"/>
    <mergeCell ref="J34:K35"/>
    <mergeCell ref="B35:C35"/>
    <mergeCell ref="E35:F35"/>
    <mergeCell ref="G35:H35"/>
    <mergeCell ref="B43:K43"/>
    <mergeCell ref="B37:K37"/>
    <mergeCell ref="B38:K38"/>
    <mergeCell ref="B39:K39"/>
    <mergeCell ref="B40:K40"/>
    <mergeCell ref="B41:K41"/>
    <mergeCell ref="B42:K42"/>
  </mergeCells>
  <pageMargins left="0.7" right="0.7" top="0.75" bottom="0.75" header="0.3" footer="0.3"/>
  <pageSetup paperSize="9" scale="71"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2:Y162"/>
  <sheetViews>
    <sheetView tabSelected="1" topLeftCell="E91" zoomScale="85" zoomScaleNormal="85" zoomScaleSheetLayoutView="85" zoomScalePageLayoutView="85" workbookViewId="0">
      <selection activeCell="E95" sqref="E95"/>
    </sheetView>
  </sheetViews>
  <sheetFormatPr defaultRowHeight="12.75"/>
  <cols>
    <col min="1" max="1" width="29.7109375" style="1" customWidth="1"/>
    <col min="2" max="2" width="18.7109375" style="1" customWidth="1"/>
    <col min="3" max="3" width="35.85546875" style="1" customWidth="1"/>
    <col min="4" max="5" width="9.140625" style="1"/>
    <col min="6" max="6" width="4.42578125" style="1" customWidth="1"/>
    <col min="7" max="7" width="5.5703125" style="1" customWidth="1"/>
    <col min="8" max="8" width="5.42578125" style="1" customWidth="1"/>
    <col min="9" max="9" width="25.28515625" style="1" customWidth="1"/>
    <col min="10" max="10" width="34.5703125" style="1" customWidth="1"/>
    <col min="11" max="11" width="9.140625" style="1" bestFit="1" customWidth="1"/>
    <col min="12" max="12" width="5.5703125" style="1" customWidth="1"/>
    <col min="13" max="14" width="9.7109375" style="1" customWidth="1"/>
    <col min="15" max="15" width="9.140625" style="1"/>
    <col min="16" max="16" width="12.5703125" style="1" customWidth="1"/>
    <col min="17" max="17" width="11.5703125" style="1" customWidth="1"/>
    <col min="18" max="18" width="11.85546875" style="1" customWidth="1"/>
    <col min="19" max="19" width="26.5703125" style="1" customWidth="1"/>
    <col min="20" max="24" width="9.140625" style="1"/>
    <col min="25" max="25" width="11.85546875" style="1" bestFit="1" customWidth="1"/>
    <col min="26" max="26" width="3" style="1" customWidth="1"/>
    <col min="27" max="27" width="2.5703125" style="1" customWidth="1"/>
    <col min="28" max="28" width="3.7109375" style="1" customWidth="1"/>
    <col min="29" max="29" width="1.7109375" style="1" customWidth="1"/>
    <col min="30" max="30" width="4" style="1" customWidth="1"/>
    <col min="31" max="16384" width="9.140625" style="1"/>
  </cols>
  <sheetData>
    <row r="2" spans="1:25" ht="15">
      <c r="A2" s="47" t="s">
        <v>190</v>
      </c>
      <c r="B2" s="4"/>
      <c r="C2" s="4"/>
      <c r="D2" s="4"/>
      <c r="E2" s="4"/>
      <c r="F2" s="4"/>
      <c r="P2" s="5"/>
      <c r="Q2" s="47"/>
      <c r="R2" s="47"/>
    </row>
    <row r="3" spans="1:25" ht="15">
      <c r="A3" s="47"/>
      <c r="B3" s="4"/>
      <c r="C3" s="4"/>
      <c r="D3" s="4"/>
      <c r="E3" s="4"/>
      <c r="F3" s="4"/>
      <c r="P3" s="47"/>
      <c r="Q3" s="47"/>
      <c r="R3" s="47"/>
    </row>
    <row r="4" spans="1:25" ht="15">
      <c r="A4" s="193" t="s">
        <v>191</v>
      </c>
      <c r="B4" s="193"/>
      <c r="C4" s="193"/>
      <c r="D4" s="193"/>
      <c r="E4" s="193" t="s">
        <v>192</v>
      </c>
      <c r="F4" s="193"/>
      <c r="G4" s="193"/>
      <c r="H4" s="194" t="s">
        <v>193</v>
      </c>
      <c r="I4" s="195"/>
      <c r="J4" s="195"/>
      <c r="K4" s="195"/>
      <c r="L4" s="195"/>
      <c r="O4" s="193" t="s">
        <v>194</v>
      </c>
      <c r="P4" s="193"/>
      <c r="Q4" s="82" t="s">
        <v>195</v>
      </c>
      <c r="R4" s="82"/>
    </row>
    <row r="5" spans="1:25" ht="15">
      <c r="A5" s="193" t="s">
        <v>196</v>
      </c>
      <c r="B5" s="193"/>
      <c r="C5" s="193"/>
      <c r="D5" s="193"/>
      <c r="E5" s="193" t="s">
        <v>192</v>
      </c>
      <c r="F5" s="193"/>
      <c r="G5" s="193"/>
      <c r="H5" s="194" t="s">
        <v>197</v>
      </c>
      <c r="I5" s="195"/>
      <c r="J5" s="195"/>
      <c r="K5" s="195"/>
      <c r="L5" s="195"/>
      <c r="M5" s="3"/>
      <c r="N5" s="3"/>
      <c r="O5" s="104" t="s">
        <v>198</v>
      </c>
      <c r="P5" s="104"/>
      <c r="Q5" s="201" t="s">
        <v>199</v>
      </c>
      <c r="R5" s="201"/>
    </row>
    <row r="6" spans="1:25" ht="15">
      <c r="A6" s="193" t="s">
        <v>200</v>
      </c>
      <c r="B6" s="193"/>
      <c r="C6" s="193"/>
      <c r="D6" s="193"/>
      <c r="E6" s="104" t="s">
        <v>201</v>
      </c>
      <c r="F6" s="103"/>
      <c r="G6" s="103"/>
      <c r="H6" s="194" t="s">
        <v>197</v>
      </c>
      <c r="I6" s="195"/>
      <c r="J6" s="195"/>
      <c r="K6" s="195"/>
      <c r="L6" s="195"/>
      <c r="M6" s="3"/>
      <c r="N6" s="3"/>
      <c r="O6" s="193" t="s">
        <v>202</v>
      </c>
      <c r="P6" s="193"/>
      <c r="Q6" s="203">
        <v>43288</v>
      </c>
      <c r="R6" s="204"/>
    </row>
    <row r="7" spans="1:25" ht="15">
      <c r="A7" s="193" t="s">
        <v>203</v>
      </c>
      <c r="B7" s="193"/>
      <c r="C7" s="193"/>
      <c r="D7" s="193"/>
      <c r="E7" s="104" t="s">
        <v>201</v>
      </c>
      <c r="F7" s="103"/>
      <c r="G7" s="103"/>
      <c r="H7" s="195" t="s">
        <v>204</v>
      </c>
      <c r="I7" s="195"/>
      <c r="J7" s="195"/>
      <c r="K7" s="195"/>
      <c r="L7" s="195"/>
      <c r="M7" s="3"/>
      <c r="N7" s="3"/>
      <c r="O7" s="3"/>
      <c r="P7" s="3"/>
      <c r="Q7" s="3"/>
      <c r="R7" s="3"/>
    </row>
    <row r="8" spans="1:25" ht="15">
      <c r="A8" s="206" t="s">
        <v>205</v>
      </c>
      <c r="B8" s="207"/>
      <c r="C8" s="207"/>
      <c r="D8" s="207"/>
      <c r="E8" s="207"/>
      <c r="F8" s="207"/>
      <c r="G8" s="207"/>
      <c r="H8" s="207"/>
      <c r="I8" s="207"/>
      <c r="J8" s="207"/>
      <c r="K8" s="207"/>
      <c r="L8" s="208"/>
      <c r="M8" s="3"/>
      <c r="N8" s="3"/>
      <c r="O8" s="3"/>
      <c r="P8" s="3"/>
      <c r="Q8" s="3"/>
      <c r="R8" s="3"/>
    </row>
    <row r="9" spans="1:25" ht="13.5" thickBot="1"/>
    <row r="10" spans="1:25" ht="15.75">
      <c r="A10" s="209" t="s">
        <v>206</v>
      </c>
      <c r="B10" s="6"/>
      <c r="C10" s="212" t="s">
        <v>207</v>
      </c>
      <c r="D10" s="212"/>
      <c r="E10" s="212"/>
      <c r="F10" s="212"/>
      <c r="G10" s="212"/>
      <c r="H10" s="212"/>
      <c r="I10" s="212"/>
      <c r="J10" s="212"/>
      <c r="K10" s="213" t="s">
        <v>208</v>
      </c>
      <c r="L10" s="213"/>
      <c r="M10" s="213"/>
      <c r="N10" s="213"/>
      <c r="O10" s="213"/>
      <c r="P10" s="213"/>
      <c r="Q10" s="7" t="s">
        <v>209</v>
      </c>
      <c r="R10" s="99"/>
      <c r="S10" s="8"/>
      <c r="T10" s="213" t="s">
        <v>210</v>
      </c>
      <c r="U10" s="213"/>
      <c r="V10" s="213"/>
      <c r="W10" s="213"/>
      <c r="X10" s="213"/>
      <c r="Y10" s="217"/>
    </row>
    <row r="11" spans="1:25" s="2" customFormat="1" ht="52.5" customHeight="1">
      <c r="A11" s="210"/>
      <c r="B11" s="199" t="s">
        <v>211</v>
      </c>
      <c r="C11" s="196" t="s">
        <v>212</v>
      </c>
      <c r="D11" s="196" t="s">
        <v>213</v>
      </c>
      <c r="E11" s="218" t="s">
        <v>214</v>
      </c>
      <c r="F11" s="199" t="s">
        <v>215</v>
      </c>
      <c r="G11" s="199"/>
      <c r="H11" s="199" t="s">
        <v>216</v>
      </c>
      <c r="I11" s="199" t="s">
        <v>217</v>
      </c>
      <c r="J11" s="199"/>
      <c r="K11" s="197" t="s">
        <v>218</v>
      </c>
      <c r="L11" s="197"/>
      <c r="M11" s="197"/>
      <c r="N11" s="197"/>
      <c r="O11" s="199" t="s">
        <v>219</v>
      </c>
      <c r="P11" s="196" t="s">
        <v>220</v>
      </c>
      <c r="Q11" s="199" t="s">
        <v>221</v>
      </c>
      <c r="R11" s="199" t="s">
        <v>222</v>
      </c>
      <c r="S11" s="225" t="s">
        <v>223</v>
      </c>
      <c r="T11" s="220" t="s">
        <v>224</v>
      </c>
      <c r="U11" s="221"/>
      <c r="V11" s="221"/>
      <c r="W11" s="221"/>
      <c r="X11" s="199" t="s">
        <v>225</v>
      </c>
      <c r="Y11" s="222" t="s">
        <v>226</v>
      </c>
    </row>
    <row r="12" spans="1:25" s="2" customFormat="1" ht="25.5">
      <c r="A12" s="210"/>
      <c r="B12" s="199"/>
      <c r="C12" s="196"/>
      <c r="D12" s="196"/>
      <c r="E12" s="218"/>
      <c r="F12" s="196" t="s">
        <v>227</v>
      </c>
      <c r="G12" s="196" t="s">
        <v>228</v>
      </c>
      <c r="H12" s="199"/>
      <c r="I12" s="196" t="s">
        <v>229</v>
      </c>
      <c r="J12" s="196" t="s">
        <v>230</v>
      </c>
      <c r="K12" s="102" t="s">
        <v>231</v>
      </c>
      <c r="L12" s="196" t="s">
        <v>232</v>
      </c>
      <c r="M12" s="196"/>
      <c r="N12" s="196"/>
      <c r="O12" s="188"/>
      <c r="P12" s="197"/>
      <c r="Q12" s="199"/>
      <c r="R12" s="199"/>
      <c r="S12" s="225"/>
      <c r="T12" s="102" t="s">
        <v>231</v>
      </c>
      <c r="U12" s="196" t="s">
        <v>232</v>
      </c>
      <c r="V12" s="196"/>
      <c r="W12" s="196"/>
      <c r="X12" s="188"/>
      <c r="Y12" s="223"/>
    </row>
    <row r="13" spans="1:25" s="2" customFormat="1" ht="51.75" thickBot="1">
      <c r="A13" s="211"/>
      <c r="B13" s="200"/>
      <c r="C13" s="202"/>
      <c r="D13" s="202"/>
      <c r="E13" s="219"/>
      <c r="F13" s="202"/>
      <c r="G13" s="202"/>
      <c r="H13" s="200"/>
      <c r="I13" s="202"/>
      <c r="J13" s="202"/>
      <c r="K13" s="9" t="s">
        <v>233</v>
      </c>
      <c r="L13" s="9" t="s">
        <v>234</v>
      </c>
      <c r="M13" s="9" t="s">
        <v>235</v>
      </c>
      <c r="N13" s="9" t="s">
        <v>236</v>
      </c>
      <c r="O13" s="205"/>
      <c r="P13" s="198"/>
      <c r="Q13" s="200"/>
      <c r="R13" s="200"/>
      <c r="S13" s="226"/>
      <c r="T13" s="9" t="s">
        <v>233</v>
      </c>
      <c r="U13" s="9" t="s">
        <v>234</v>
      </c>
      <c r="V13" s="9" t="s">
        <v>235</v>
      </c>
      <c r="W13" s="9" t="s">
        <v>236</v>
      </c>
      <c r="X13" s="205"/>
      <c r="Y13" s="224"/>
    </row>
    <row r="14" spans="1:25" ht="13.5" thickBot="1">
      <c r="A14" s="214" t="s">
        <v>237</v>
      </c>
      <c r="B14" s="215"/>
      <c r="C14" s="215"/>
      <c r="D14" s="215"/>
      <c r="E14" s="215"/>
      <c r="F14" s="215"/>
      <c r="G14" s="215"/>
      <c r="H14" s="215"/>
      <c r="I14" s="215"/>
      <c r="J14" s="215"/>
      <c r="K14" s="215"/>
      <c r="L14" s="215"/>
      <c r="M14" s="215"/>
      <c r="N14" s="215"/>
      <c r="O14" s="215"/>
      <c r="P14" s="215"/>
      <c r="Q14" s="215"/>
      <c r="R14" s="215"/>
      <c r="S14" s="215"/>
      <c r="T14" s="215"/>
      <c r="U14" s="215"/>
      <c r="V14" s="215"/>
      <c r="W14" s="215"/>
      <c r="X14" s="215"/>
      <c r="Y14" s="216"/>
    </row>
    <row r="15" spans="1:25" ht="38.25">
      <c r="A15" s="188" t="s">
        <v>129</v>
      </c>
      <c r="B15" s="100" t="s">
        <v>5</v>
      </c>
      <c r="C15" s="55" t="s">
        <v>238</v>
      </c>
      <c r="D15" s="100" t="s">
        <v>239</v>
      </c>
      <c r="E15" s="100" t="s">
        <v>240</v>
      </c>
      <c r="F15" s="100" t="s">
        <v>241</v>
      </c>
      <c r="G15" s="100" t="s">
        <v>164</v>
      </c>
      <c r="H15" s="31"/>
      <c r="I15" s="65" t="s">
        <v>242</v>
      </c>
      <c r="J15" s="65" t="s">
        <v>243</v>
      </c>
      <c r="K15" s="31">
        <v>4</v>
      </c>
      <c r="L15" s="31">
        <v>2</v>
      </c>
      <c r="M15" s="31">
        <v>2</v>
      </c>
      <c r="N15" s="31">
        <v>2</v>
      </c>
      <c r="O15" s="31">
        <f>K15*L15*M15*N15</f>
        <v>32</v>
      </c>
      <c r="P15" s="79" t="str">
        <f>IF(O15&lt;251,IF(O15&lt;131,IF(O15&lt;73,IF(O15&lt;37,IF(O15&lt;16,"","TRIVAL"),"TOLERABLE"),"MODERATE"),"SUBSTANTIAL"),"INTOLERABLE")</f>
        <v>TRIVAL</v>
      </c>
      <c r="Q15" s="31" t="str">
        <f>IF(O15&gt;=16,IF(O15&gt;72,"NO","YES"),"")</f>
        <v>YES</v>
      </c>
      <c r="R15" s="30"/>
      <c r="S15" s="30"/>
      <c r="T15" s="30"/>
      <c r="U15" s="30"/>
      <c r="V15" s="30"/>
      <c r="W15" s="30"/>
      <c r="X15" s="30"/>
      <c r="Y15" s="32" t="str">
        <f>IF(X15&lt;251,IF(X15&lt;131,IF(X15&lt;73,IF(X15&lt;37,IF(X15&lt;16,"","TRIVAL"),"TOLERABLE"),"MODERATE"),"SUBSTANTIAL"),"INTOLERABLE")</f>
        <v/>
      </c>
    </row>
    <row r="16" spans="1:25" ht="38.25">
      <c r="A16" s="192"/>
      <c r="B16" s="100" t="s">
        <v>5</v>
      </c>
      <c r="C16" s="55" t="s">
        <v>244</v>
      </c>
      <c r="D16" s="100" t="s">
        <v>239</v>
      </c>
      <c r="E16" s="100" t="s">
        <v>240</v>
      </c>
      <c r="F16" s="100" t="s">
        <v>241</v>
      </c>
      <c r="G16" s="100" t="s">
        <v>164</v>
      </c>
      <c r="H16" s="31"/>
      <c r="I16" s="65" t="s">
        <v>242</v>
      </c>
      <c r="J16" s="31"/>
      <c r="K16" s="31">
        <v>4</v>
      </c>
      <c r="L16" s="31">
        <v>2</v>
      </c>
      <c r="M16" s="31">
        <v>2</v>
      </c>
      <c r="N16" s="31">
        <v>2</v>
      </c>
      <c r="O16" s="31">
        <f t="shared" ref="O16:O81" si="0">K16*L16*M16*N16</f>
        <v>32</v>
      </c>
      <c r="P16" s="79" t="str">
        <f t="shared" ref="P16:P81" si="1">IF(O16&lt;251,IF(O16&lt;131,IF(O16&lt;73,IF(O16&lt;37,IF(O16&lt;16,"","TRIVAL"),"TOLERABLE"),"MODERATE"),"SUBSTANTIAL"),"INTOLERABLE")</f>
        <v>TRIVAL</v>
      </c>
      <c r="Q16" s="31" t="str">
        <f t="shared" ref="Q16:Q81" si="2">IF(O16&gt;=16,IF(O16&gt;72,"NO","YES"),"")</f>
        <v>YES</v>
      </c>
      <c r="R16" s="31"/>
      <c r="S16" s="31"/>
      <c r="T16" s="31"/>
      <c r="U16" s="31"/>
      <c r="V16" s="31"/>
      <c r="W16" s="31"/>
      <c r="X16" s="31"/>
      <c r="Y16" s="33" t="str">
        <f t="shared" ref="Y16" si="3">IF(X16&lt;251,IF(X16&lt;131,IF(X16&lt;73,IF(X16&lt;37,IF(X16&lt;16,"","TRIVAL"),"TOLERABLE"),"MODERATE"),"SUBSTANTIAL"),"INTOLERABLE")</f>
        <v/>
      </c>
    </row>
    <row r="17" spans="1:25" ht="38.25">
      <c r="A17" s="192"/>
      <c r="B17" s="100" t="s">
        <v>5</v>
      </c>
      <c r="C17" s="55" t="s">
        <v>245</v>
      </c>
      <c r="D17" s="100" t="s">
        <v>239</v>
      </c>
      <c r="E17" s="100" t="s">
        <v>240</v>
      </c>
      <c r="F17" s="100" t="s">
        <v>241</v>
      </c>
      <c r="G17" s="100" t="s">
        <v>164</v>
      </c>
      <c r="H17" s="31"/>
      <c r="I17" s="65" t="s">
        <v>242</v>
      </c>
      <c r="J17" s="31"/>
      <c r="K17" s="31">
        <v>4</v>
      </c>
      <c r="L17" s="31">
        <v>2</v>
      </c>
      <c r="M17" s="31">
        <v>2</v>
      </c>
      <c r="N17" s="31">
        <v>2</v>
      </c>
      <c r="O17" s="31">
        <f t="shared" ref="O17:O21" si="4">K17*L17*M17*N17</f>
        <v>32</v>
      </c>
      <c r="P17" s="79" t="str">
        <f t="shared" si="1"/>
        <v>TRIVAL</v>
      </c>
      <c r="Q17" s="31" t="str">
        <f t="shared" si="2"/>
        <v>YES</v>
      </c>
      <c r="R17" s="31"/>
      <c r="S17" s="31"/>
      <c r="T17" s="31"/>
      <c r="U17" s="31"/>
      <c r="V17" s="31"/>
      <c r="W17" s="31"/>
      <c r="X17" s="31"/>
      <c r="Y17" s="33" t="str">
        <f t="shared" ref="Y17:Y70" si="5">IF(X17&lt;251,IF(X17&lt;131,IF(X17&lt;73,IF(X17&lt;37,IF(X17&lt;16,"","TRIVAL"),"TOLERABLE"),"MODERATE"),"SUBSTANTIAL"),"INTOLERABLE")</f>
        <v/>
      </c>
    </row>
    <row r="18" spans="1:25" ht="25.5">
      <c r="A18" s="192"/>
      <c r="B18" s="100" t="s">
        <v>5</v>
      </c>
      <c r="C18" s="55" t="s">
        <v>246</v>
      </c>
      <c r="D18" s="100" t="s">
        <v>239</v>
      </c>
      <c r="E18" s="100" t="s">
        <v>240</v>
      </c>
      <c r="F18" s="100" t="s">
        <v>241</v>
      </c>
      <c r="G18" s="100" t="s">
        <v>164</v>
      </c>
      <c r="H18" s="31"/>
      <c r="I18" s="65" t="s">
        <v>247</v>
      </c>
      <c r="J18" s="31"/>
      <c r="K18" s="31">
        <v>4</v>
      </c>
      <c r="L18" s="31">
        <v>2</v>
      </c>
      <c r="M18" s="31">
        <v>2</v>
      </c>
      <c r="N18" s="31">
        <v>2</v>
      </c>
      <c r="O18" s="31">
        <f t="shared" si="4"/>
        <v>32</v>
      </c>
      <c r="P18" s="79" t="str">
        <f t="shared" si="1"/>
        <v>TRIVAL</v>
      </c>
      <c r="Q18" s="31" t="str">
        <f t="shared" si="2"/>
        <v>YES</v>
      </c>
      <c r="R18" s="50"/>
      <c r="S18" s="50"/>
      <c r="T18" s="31"/>
      <c r="U18" s="31"/>
      <c r="V18" s="31"/>
      <c r="W18" s="31"/>
      <c r="X18" s="31"/>
      <c r="Y18" s="33" t="str">
        <f t="shared" si="5"/>
        <v/>
      </c>
    </row>
    <row r="19" spans="1:25" ht="38.25">
      <c r="A19" s="192"/>
      <c r="B19" s="100" t="s">
        <v>5</v>
      </c>
      <c r="C19" s="55" t="s">
        <v>248</v>
      </c>
      <c r="D19" s="100" t="s">
        <v>239</v>
      </c>
      <c r="E19" s="100" t="s">
        <v>240</v>
      </c>
      <c r="F19" s="100" t="s">
        <v>241</v>
      </c>
      <c r="G19" s="100" t="s">
        <v>164</v>
      </c>
      <c r="H19" s="31"/>
      <c r="I19" s="65" t="s">
        <v>242</v>
      </c>
      <c r="J19" s="31"/>
      <c r="K19" s="31">
        <v>4</v>
      </c>
      <c r="L19" s="31">
        <v>2</v>
      </c>
      <c r="M19" s="31">
        <v>2</v>
      </c>
      <c r="N19" s="31">
        <v>2</v>
      </c>
      <c r="O19" s="31">
        <f t="shared" si="4"/>
        <v>32</v>
      </c>
      <c r="P19" s="79" t="str">
        <f t="shared" si="1"/>
        <v>TRIVAL</v>
      </c>
      <c r="Q19" s="31" t="str">
        <f t="shared" si="2"/>
        <v>YES</v>
      </c>
      <c r="R19" s="50"/>
      <c r="S19" s="50"/>
      <c r="T19" s="31"/>
      <c r="U19" s="31"/>
      <c r="V19" s="31"/>
      <c r="W19" s="31"/>
      <c r="X19" s="31"/>
      <c r="Y19" s="33" t="str">
        <f t="shared" si="5"/>
        <v/>
      </c>
    </row>
    <row r="20" spans="1:25" ht="38.25">
      <c r="A20" s="192"/>
      <c r="B20" s="100" t="s">
        <v>5</v>
      </c>
      <c r="C20" s="55" t="s">
        <v>249</v>
      </c>
      <c r="D20" s="100" t="s">
        <v>239</v>
      </c>
      <c r="E20" s="100" t="s">
        <v>240</v>
      </c>
      <c r="F20" s="100" t="s">
        <v>241</v>
      </c>
      <c r="G20" s="100" t="s">
        <v>164</v>
      </c>
      <c r="H20" s="31"/>
      <c r="I20" s="65" t="s">
        <v>242</v>
      </c>
      <c r="J20" s="31"/>
      <c r="K20" s="31">
        <v>4</v>
      </c>
      <c r="L20" s="31">
        <v>2</v>
      </c>
      <c r="M20" s="31">
        <v>2</v>
      </c>
      <c r="N20" s="31">
        <v>2</v>
      </c>
      <c r="O20" s="31">
        <f t="shared" si="4"/>
        <v>32</v>
      </c>
      <c r="P20" s="79" t="str">
        <f t="shared" si="1"/>
        <v>TRIVAL</v>
      </c>
      <c r="Q20" s="31" t="str">
        <f t="shared" si="2"/>
        <v>YES</v>
      </c>
      <c r="R20" s="50"/>
      <c r="S20" s="50"/>
      <c r="T20" s="31"/>
      <c r="U20" s="31"/>
      <c r="V20" s="31"/>
      <c r="W20" s="31"/>
      <c r="X20" s="31"/>
      <c r="Y20" s="33" t="str">
        <f t="shared" si="5"/>
        <v/>
      </c>
    </row>
    <row r="21" spans="1:25" ht="38.25">
      <c r="A21" s="192"/>
      <c r="B21" s="100" t="s">
        <v>5</v>
      </c>
      <c r="C21" s="55" t="s">
        <v>250</v>
      </c>
      <c r="D21" s="100" t="s">
        <v>239</v>
      </c>
      <c r="E21" s="100" t="s">
        <v>240</v>
      </c>
      <c r="F21" s="100" t="s">
        <v>241</v>
      </c>
      <c r="G21" s="100" t="s">
        <v>164</v>
      </c>
      <c r="H21" s="31"/>
      <c r="I21" s="65" t="s">
        <v>242</v>
      </c>
      <c r="J21" s="31"/>
      <c r="K21" s="31">
        <v>4</v>
      </c>
      <c r="L21" s="31">
        <v>2</v>
      </c>
      <c r="M21" s="31">
        <v>2</v>
      </c>
      <c r="N21" s="31">
        <v>2</v>
      </c>
      <c r="O21" s="31">
        <f t="shared" si="4"/>
        <v>32</v>
      </c>
      <c r="P21" s="79" t="str">
        <f t="shared" si="1"/>
        <v>TRIVAL</v>
      </c>
      <c r="Q21" s="31" t="str">
        <f t="shared" si="2"/>
        <v>YES</v>
      </c>
      <c r="R21" s="50"/>
      <c r="S21" s="50"/>
      <c r="T21" s="31"/>
      <c r="U21" s="31"/>
      <c r="V21" s="31"/>
      <c r="W21" s="31"/>
      <c r="X21" s="31"/>
      <c r="Y21" s="33" t="str">
        <f t="shared" si="5"/>
        <v/>
      </c>
    </row>
    <row r="22" spans="1:25">
      <c r="A22" s="192"/>
      <c r="B22" s="100" t="s">
        <v>21</v>
      </c>
      <c r="C22" s="55" t="s">
        <v>251</v>
      </c>
      <c r="D22" s="100" t="s">
        <v>239</v>
      </c>
      <c r="E22" s="100" t="s">
        <v>240</v>
      </c>
      <c r="F22" s="100" t="s">
        <v>241</v>
      </c>
      <c r="G22" s="100" t="s">
        <v>164</v>
      </c>
      <c r="H22" s="31"/>
      <c r="I22" s="65" t="s">
        <v>252</v>
      </c>
      <c r="J22" s="31"/>
      <c r="K22" s="31">
        <v>2</v>
      </c>
      <c r="L22" s="31">
        <v>2</v>
      </c>
      <c r="M22" s="31">
        <v>2</v>
      </c>
      <c r="N22" s="31">
        <v>2</v>
      </c>
      <c r="O22" s="31">
        <f t="shared" si="0"/>
        <v>16</v>
      </c>
      <c r="P22" s="79" t="str">
        <f t="shared" si="1"/>
        <v>TRIVAL</v>
      </c>
      <c r="Q22" s="31" t="str">
        <f t="shared" si="2"/>
        <v>YES</v>
      </c>
      <c r="R22" s="50"/>
      <c r="S22" s="50"/>
      <c r="T22" s="31"/>
      <c r="U22" s="31"/>
      <c r="V22" s="31"/>
      <c r="W22" s="31"/>
      <c r="X22" s="31"/>
      <c r="Y22" s="33" t="str">
        <f t="shared" si="5"/>
        <v/>
      </c>
    </row>
    <row r="23" spans="1:25" ht="25.5">
      <c r="A23" s="192"/>
      <c r="B23" s="61" t="s">
        <v>19</v>
      </c>
      <c r="C23" s="62" t="s">
        <v>253</v>
      </c>
      <c r="D23" s="61" t="s">
        <v>239</v>
      </c>
      <c r="E23" s="61" t="s">
        <v>240</v>
      </c>
      <c r="F23" s="61" t="s">
        <v>241</v>
      </c>
      <c r="G23" s="61" t="s">
        <v>164</v>
      </c>
      <c r="H23" s="63"/>
      <c r="I23" s="64"/>
      <c r="J23" s="64" t="s">
        <v>254</v>
      </c>
      <c r="K23" s="63">
        <v>5</v>
      </c>
      <c r="L23" s="63">
        <v>2</v>
      </c>
      <c r="M23" s="63">
        <v>3</v>
      </c>
      <c r="N23" s="63">
        <v>2</v>
      </c>
      <c r="O23" s="63">
        <f t="shared" si="0"/>
        <v>60</v>
      </c>
      <c r="P23" s="68" t="str">
        <f t="shared" si="1"/>
        <v>TOLERABLE</v>
      </c>
      <c r="Q23" s="63" t="str">
        <f t="shared" si="2"/>
        <v>YES</v>
      </c>
      <c r="R23" s="81"/>
      <c r="S23" s="81" t="s">
        <v>255</v>
      </c>
      <c r="T23" s="63">
        <v>2</v>
      </c>
      <c r="U23" s="63">
        <v>2</v>
      </c>
      <c r="V23" s="63">
        <v>2</v>
      </c>
      <c r="W23" s="63">
        <v>2</v>
      </c>
      <c r="X23" s="63">
        <f t="shared" ref="X23" si="6">T23*U23*V23*W23</f>
        <v>16</v>
      </c>
      <c r="Y23" s="68" t="str">
        <f t="shared" si="5"/>
        <v>TRIVAL</v>
      </c>
    </row>
    <row r="24" spans="1:25" ht="38.25">
      <c r="A24" s="192"/>
      <c r="B24" s="100" t="s">
        <v>5</v>
      </c>
      <c r="C24" s="55" t="s">
        <v>256</v>
      </c>
      <c r="D24" s="100" t="s">
        <v>239</v>
      </c>
      <c r="E24" s="100" t="s">
        <v>240</v>
      </c>
      <c r="F24" s="100" t="s">
        <v>241</v>
      </c>
      <c r="G24" s="100" t="s">
        <v>164</v>
      </c>
      <c r="H24" s="31"/>
      <c r="I24" s="65" t="s">
        <v>242</v>
      </c>
      <c r="J24" s="31"/>
      <c r="K24" s="31">
        <v>4</v>
      </c>
      <c r="L24" s="31">
        <v>2</v>
      </c>
      <c r="M24" s="31">
        <v>2</v>
      </c>
      <c r="N24" s="31">
        <v>2</v>
      </c>
      <c r="O24" s="31">
        <f t="shared" ref="O24:O25" si="7">K24*L24*M24*N24</f>
        <v>32</v>
      </c>
      <c r="P24" s="79" t="str">
        <f t="shared" si="1"/>
        <v>TRIVAL</v>
      </c>
      <c r="Q24" s="31" t="str">
        <f t="shared" si="2"/>
        <v>YES</v>
      </c>
      <c r="R24" s="50"/>
      <c r="S24" s="50"/>
      <c r="T24" s="31"/>
      <c r="U24" s="31"/>
      <c r="V24" s="31"/>
      <c r="W24" s="31"/>
      <c r="X24" s="31"/>
      <c r="Y24" s="33" t="str">
        <f t="shared" si="5"/>
        <v/>
      </c>
    </row>
    <row r="25" spans="1:25" ht="38.25">
      <c r="A25" s="192"/>
      <c r="B25" s="100" t="s">
        <v>5</v>
      </c>
      <c r="C25" s="55" t="s">
        <v>257</v>
      </c>
      <c r="D25" s="100" t="s">
        <v>239</v>
      </c>
      <c r="E25" s="100" t="s">
        <v>240</v>
      </c>
      <c r="F25" s="100" t="s">
        <v>241</v>
      </c>
      <c r="G25" s="100" t="s">
        <v>164</v>
      </c>
      <c r="H25" s="31"/>
      <c r="I25" s="65" t="s">
        <v>242</v>
      </c>
      <c r="J25" s="31"/>
      <c r="K25" s="31">
        <v>4</v>
      </c>
      <c r="L25" s="31">
        <v>2</v>
      </c>
      <c r="M25" s="31">
        <v>2</v>
      </c>
      <c r="N25" s="31">
        <v>2</v>
      </c>
      <c r="O25" s="31">
        <f t="shared" si="7"/>
        <v>32</v>
      </c>
      <c r="P25" s="79" t="str">
        <f t="shared" si="1"/>
        <v>TRIVAL</v>
      </c>
      <c r="Q25" s="31" t="str">
        <f t="shared" si="2"/>
        <v>YES</v>
      </c>
      <c r="R25" s="50"/>
      <c r="S25" s="50"/>
      <c r="T25" s="31"/>
      <c r="U25" s="31"/>
      <c r="V25" s="31"/>
      <c r="W25" s="31"/>
      <c r="X25" s="31"/>
      <c r="Y25" s="33" t="str">
        <f t="shared" si="5"/>
        <v/>
      </c>
    </row>
    <row r="26" spans="1:25" ht="25.5">
      <c r="A26" s="192"/>
      <c r="B26" s="100" t="s">
        <v>13</v>
      </c>
      <c r="C26" s="55" t="s">
        <v>258</v>
      </c>
      <c r="D26" s="100" t="s">
        <v>239</v>
      </c>
      <c r="E26" s="100" t="s">
        <v>240</v>
      </c>
      <c r="F26" s="100" t="s">
        <v>241</v>
      </c>
      <c r="G26" s="100" t="s">
        <v>164</v>
      </c>
      <c r="H26" s="31"/>
      <c r="I26" s="65" t="s">
        <v>252</v>
      </c>
      <c r="J26" s="31"/>
      <c r="K26" s="31">
        <v>2</v>
      </c>
      <c r="L26" s="31">
        <v>2</v>
      </c>
      <c r="M26" s="31">
        <v>2</v>
      </c>
      <c r="N26" s="31">
        <v>2</v>
      </c>
      <c r="O26" s="31">
        <f t="shared" si="0"/>
        <v>16</v>
      </c>
      <c r="P26" s="79" t="str">
        <f t="shared" si="1"/>
        <v>TRIVAL</v>
      </c>
      <c r="Q26" s="31" t="str">
        <f t="shared" si="2"/>
        <v>YES</v>
      </c>
      <c r="R26" s="50"/>
      <c r="S26" s="50"/>
      <c r="T26" s="31"/>
      <c r="U26" s="31"/>
      <c r="V26" s="31"/>
      <c r="W26" s="31"/>
      <c r="X26" s="31"/>
      <c r="Y26" s="33" t="str">
        <f t="shared" si="5"/>
        <v/>
      </c>
    </row>
    <row r="27" spans="1:25" ht="38.25">
      <c r="A27" s="192"/>
      <c r="B27" s="100" t="s">
        <v>5</v>
      </c>
      <c r="C27" s="55" t="s">
        <v>259</v>
      </c>
      <c r="D27" s="100" t="s">
        <v>239</v>
      </c>
      <c r="E27" s="100" t="s">
        <v>240</v>
      </c>
      <c r="F27" s="100" t="s">
        <v>241</v>
      </c>
      <c r="G27" s="100" t="s">
        <v>164</v>
      </c>
      <c r="H27" s="31"/>
      <c r="I27" s="65" t="s">
        <v>242</v>
      </c>
      <c r="J27" s="31"/>
      <c r="K27" s="31">
        <v>4</v>
      </c>
      <c r="L27" s="31">
        <v>2</v>
      </c>
      <c r="M27" s="31">
        <v>2</v>
      </c>
      <c r="N27" s="31">
        <v>2</v>
      </c>
      <c r="O27" s="31">
        <f t="shared" ref="O27" si="8">K27*L27*M27*N27</f>
        <v>32</v>
      </c>
      <c r="P27" s="79" t="str">
        <f t="shared" si="1"/>
        <v>TRIVAL</v>
      </c>
      <c r="Q27" s="31" t="str">
        <f t="shared" si="2"/>
        <v>YES</v>
      </c>
      <c r="R27" s="50"/>
      <c r="S27" s="50"/>
      <c r="T27" s="31"/>
      <c r="U27" s="31"/>
      <c r="V27" s="31"/>
      <c r="W27" s="31"/>
      <c r="X27" s="31"/>
      <c r="Y27" s="33" t="str">
        <f t="shared" si="5"/>
        <v/>
      </c>
    </row>
    <row r="28" spans="1:25" ht="25.5">
      <c r="A28" s="192"/>
      <c r="B28" s="100" t="s">
        <v>13</v>
      </c>
      <c r="C28" s="55" t="s">
        <v>260</v>
      </c>
      <c r="D28" s="100" t="s">
        <v>239</v>
      </c>
      <c r="E28" s="100" t="s">
        <v>240</v>
      </c>
      <c r="F28" s="100" t="s">
        <v>241</v>
      </c>
      <c r="G28" s="100" t="s">
        <v>164</v>
      </c>
      <c r="H28" s="31"/>
      <c r="I28" s="65" t="s">
        <v>252</v>
      </c>
      <c r="J28" s="31"/>
      <c r="K28" s="31">
        <v>2</v>
      </c>
      <c r="L28" s="31">
        <v>2</v>
      </c>
      <c r="M28" s="31">
        <v>2</v>
      </c>
      <c r="N28" s="31">
        <v>2</v>
      </c>
      <c r="O28" s="31">
        <f t="shared" si="0"/>
        <v>16</v>
      </c>
      <c r="P28" s="79" t="str">
        <f t="shared" si="1"/>
        <v>TRIVAL</v>
      </c>
      <c r="Q28" s="31" t="str">
        <f t="shared" si="2"/>
        <v>YES</v>
      </c>
      <c r="R28" s="50"/>
      <c r="S28" s="50"/>
      <c r="T28" s="31"/>
      <c r="U28" s="31"/>
      <c r="V28" s="31"/>
      <c r="W28" s="31"/>
      <c r="X28" s="31"/>
      <c r="Y28" s="33" t="str">
        <f t="shared" si="5"/>
        <v/>
      </c>
    </row>
    <row r="29" spans="1:25" ht="38.25">
      <c r="A29" s="192"/>
      <c r="B29" s="100" t="s">
        <v>5</v>
      </c>
      <c r="C29" s="55" t="s">
        <v>261</v>
      </c>
      <c r="D29" s="100" t="s">
        <v>239</v>
      </c>
      <c r="E29" s="100" t="s">
        <v>240</v>
      </c>
      <c r="F29" s="100" t="s">
        <v>241</v>
      </c>
      <c r="G29" s="100" t="s">
        <v>164</v>
      </c>
      <c r="H29" s="31"/>
      <c r="I29" s="65" t="s">
        <v>242</v>
      </c>
      <c r="J29" s="31"/>
      <c r="K29" s="31">
        <v>4</v>
      </c>
      <c r="L29" s="31">
        <v>2</v>
      </c>
      <c r="M29" s="31">
        <v>2</v>
      </c>
      <c r="N29" s="31">
        <v>2</v>
      </c>
      <c r="O29" s="31">
        <f t="shared" si="0"/>
        <v>32</v>
      </c>
      <c r="P29" s="79" t="str">
        <f t="shared" si="1"/>
        <v>TRIVAL</v>
      </c>
      <c r="Q29" s="31" t="str">
        <f t="shared" si="2"/>
        <v>YES</v>
      </c>
      <c r="R29" s="50"/>
      <c r="S29" s="50"/>
      <c r="T29" s="31"/>
      <c r="U29" s="31"/>
      <c r="V29" s="31"/>
      <c r="W29" s="31"/>
      <c r="X29" s="31"/>
      <c r="Y29" s="33" t="str">
        <f t="shared" si="5"/>
        <v/>
      </c>
    </row>
    <row r="30" spans="1:25" ht="25.5">
      <c r="A30" s="192"/>
      <c r="B30" s="100" t="s">
        <v>13</v>
      </c>
      <c r="C30" s="55" t="s">
        <v>262</v>
      </c>
      <c r="D30" s="100" t="s">
        <v>239</v>
      </c>
      <c r="E30" s="100" t="s">
        <v>240</v>
      </c>
      <c r="F30" s="100" t="s">
        <v>241</v>
      </c>
      <c r="G30" s="100" t="s">
        <v>164</v>
      </c>
      <c r="H30" s="31"/>
      <c r="I30" s="65" t="s">
        <v>252</v>
      </c>
      <c r="J30" s="31"/>
      <c r="K30" s="31">
        <v>2</v>
      </c>
      <c r="L30" s="31">
        <v>2</v>
      </c>
      <c r="M30" s="31">
        <v>2</v>
      </c>
      <c r="N30" s="31">
        <v>2</v>
      </c>
      <c r="O30" s="31">
        <f t="shared" si="0"/>
        <v>16</v>
      </c>
      <c r="P30" s="79" t="str">
        <f t="shared" si="1"/>
        <v>TRIVAL</v>
      </c>
      <c r="Q30" s="31" t="str">
        <f t="shared" si="2"/>
        <v>YES</v>
      </c>
      <c r="R30" s="50"/>
      <c r="S30" s="50"/>
      <c r="T30" s="31"/>
      <c r="U30" s="31"/>
      <c r="V30" s="31"/>
      <c r="W30" s="31"/>
      <c r="X30" s="31"/>
      <c r="Y30" s="33" t="str">
        <f t="shared" si="5"/>
        <v/>
      </c>
    </row>
    <row r="31" spans="1:25" ht="38.25">
      <c r="A31" s="192"/>
      <c r="B31" s="100" t="s">
        <v>27</v>
      </c>
      <c r="C31" s="55" t="s">
        <v>263</v>
      </c>
      <c r="D31" s="100" t="s">
        <v>239</v>
      </c>
      <c r="E31" s="100" t="s">
        <v>240</v>
      </c>
      <c r="F31" s="100" t="s">
        <v>241</v>
      </c>
      <c r="G31" s="100" t="s">
        <v>164</v>
      </c>
      <c r="H31" s="31"/>
      <c r="I31" s="65" t="s">
        <v>242</v>
      </c>
      <c r="J31" s="31"/>
      <c r="K31" s="31">
        <v>2</v>
      </c>
      <c r="L31" s="31">
        <v>2</v>
      </c>
      <c r="M31" s="31">
        <v>2</v>
      </c>
      <c r="N31" s="31">
        <v>2</v>
      </c>
      <c r="O31" s="31">
        <f t="shared" si="0"/>
        <v>16</v>
      </c>
      <c r="P31" s="79" t="str">
        <f t="shared" si="1"/>
        <v>TRIVAL</v>
      </c>
      <c r="Q31" s="31" t="str">
        <f t="shared" si="2"/>
        <v>YES</v>
      </c>
      <c r="R31" s="50"/>
      <c r="S31" s="50"/>
      <c r="T31" s="31"/>
      <c r="U31" s="31"/>
      <c r="V31" s="31"/>
      <c r="W31" s="31"/>
      <c r="X31" s="31"/>
      <c r="Y31" s="33" t="str">
        <f t="shared" si="5"/>
        <v/>
      </c>
    </row>
    <row r="32" spans="1:25" ht="38.25">
      <c r="A32" s="188" t="s">
        <v>132</v>
      </c>
      <c r="B32" s="100" t="s">
        <v>264</v>
      </c>
      <c r="C32" s="55" t="s">
        <v>265</v>
      </c>
      <c r="D32" s="100" t="s">
        <v>239</v>
      </c>
      <c r="E32" s="100" t="s">
        <v>240</v>
      </c>
      <c r="F32" s="100" t="s">
        <v>241</v>
      </c>
      <c r="G32" s="100" t="s">
        <v>164</v>
      </c>
      <c r="H32" s="31"/>
      <c r="I32" s="65" t="s">
        <v>266</v>
      </c>
      <c r="J32" s="31"/>
      <c r="K32" s="31">
        <v>2</v>
      </c>
      <c r="L32" s="31">
        <v>2</v>
      </c>
      <c r="M32" s="31">
        <v>2</v>
      </c>
      <c r="N32" s="31">
        <v>2</v>
      </c>
      <c r="O32" s="31">
        <f t="shared" si="0"/>
        <v>16</v>
      </c>
      <c r="P32" s="79" t="str">
        <f t="shared" si="1"/>
        <v>TRIVAL</v>
      </c>
      <c r="Q32" s="31" t="str">
        <f t="shared" si="2"/>
        <v>YES</v>
      </c>
      <c r="R32" s="50"/>
      <c r="S32" s="50"/>
      <c r="T32" s="31"/>
      <c r="U32" s="31"/>
      <c r="V32" s="31"/>
      <c r="W32" s="31"/>
      <c r="X32" s="31"/>
      <c r="Y32" s="33" t="str">
        <f t="shared" si="5"/>
        <v/>
      </c>
    </row>
    <row r="33" spans="1:25" ht="38.25">
      <c r="A33" s="192"/>
      <c r="B33" s="100" t="s">
        <v>264</v>
      </c>
      <c r="C33" s="55" t="s">
        <v>267</v>
      </c>
      <c r="D33" s="100" t="s">
        <v>239</v>
      </c>
      <c r="E33" s="100" t="s">
        <v>240</v>
      </c>
      <c r="F33" s="100" t="s">
        <v>241</v>
      </c>
      <c r="G33" s="100" t="s">
        <v>164</v>
      </c>
      <c r="H33" s="31"/>
      <c r="I33" s="65" t="s">
        <v>266</v>
      </c>
      <c r="J33" s="31"/>
      <c r="K33" s="31">
        <v>2</v>
      </c>
      <c r="L33" s="31">
        <v>2</v>
      </c>
      <c r="M33" s="31">
        <v>2</v>
      </c>
      <c r="N33" s="31">
        <v>2</v>
      </c>
      <c r="O33" s="31">
        <f t="shared" si="0"/>
        <v>16</v>
      </c>
      <c r="P33" s="79" t="str">
        <f t="shared" si="1"/>
        <v>TRIVAL</v>
      </c>
      <c r="Q33" s="31" t="str">
        <f t="shared" si="2"/>
        <v>YES</v>
      </c>
      <c r="R33" s="31"/>
      <c r="S33" s="31"/>
      <c r="T33" s="31"/>
      <c r="U33" s="31"/>
      <c r="V33" s="31"/>
      <c r="W33" s="31"/>
      <c r="X33" s="31"/>
      <c r="Y33" s="33" t="str">
        <f t="shared" si="5"/>
        <v/>
      </c>
    </row>
    <row r="34" spans="1:25" ht="38.25">
      <c r="A34" s="192"/>
      <c r="B34" s="100" t="s">
        <v>21</v>
      </c>
      <c r="C34" s="55" t="s">
        <v>268</v>
      </c>
      <c r="D34" s="100" t="s">
        <v>239</v>
      </c>
      <c r="E34" s="100" t="s">
        <v>240</v>
      </c>
      <c r="F34" s="100" t="s">
        <v>241</v>
      </c>
      <c r="G34" s="100" t="s">
        <v>164</v>
      </c>
      <c r="H34" s="31"/>
      <c r="I34" s="65" t="s">
        <v>266</v>
      </c>
      <c r="J34" s="31"/>
      <c r="K34" s="31">
        <v>2</v>
      </c>
      <c r="L34" s="31">
        <v>2</v>
      </c>
      <c r="M34" s="31">
        <v>2</v>
      </c>
      <c r="N34" s="31">
        <v>2</v>
      </c>
      <c r="O34" s="31">
        <f t="shared" si="0"/>
        <v>16</v>
      </c>
      <c r="P34" s="79" t="str">
        <f t="shared" si="1"/>
        <v>TRIVAL</v>
      </c>
      <c r="Q34" s="31" t="str">
        <f t="shared" si="2"/>
        <v>YES</v>
      </c>
      <c r="R34" s="31"/>
      <c r="S34" s="31"/>
      <c r="T34" s="31"/>
      <c r="U34" s="31"/>
      <c r="V34" s="31"/>
      <c r="W34" s="31"/>
      <c r="X34" s="31"/>
      <c r="Y34" s="33" t="str">
        <f t="shared" si="5"/>
        <v/>
      </c>
    </row>
    <row r="35" spans="1:25" ht="38.25">
      <c r="A35" s="192"/>
      <c r="B35" s="100" t="s">
        <v>5</v>
      </c>
      <c r="C35" s="55" t="s">
        <v>269</v>
      </c>
      <c r="D35" s="100" t="s">
        <v>239</v>
      </c>
      <c r="E35" s="100" t="s">
        <v>240</v>
      </c>
      <c r="F35" s="100" t="s">
        <v>241</v>
      </c>
      <c r="G35" s="100" t="s">
        <v>164</v>
      </c>
      <c r="H35" s="31"/>
      <c r="I35" s="65" t="s">
        <v>266</v>
      </c>
      <c r="J35" s="31"/>
      <c r="K35" s="31">
        <v>4</v>
      </c>
      <c r="L35" s="31">
        <v>2</v>
      </c>
      <c r="M35" s="31">
        <v>2</v>
      </c>
      <c r="N35" s="31">
        <v>2</v>
      </c>
      <c r="O35" s="31">
        <f t="shared" si="0"/>
        <v>32</v>
      </c>
      <c r="P35" s="79" t="str">
        <f t="shared" si="1"/>
        <v>TRIVAL</v>
      </c>
      <c r="Q35" s="31" t="str">
        <f t="shared" si="2"/>
        <v>YES</v>
      </c>
      <c r="R35" s="31"/>
      <c r="S35" s="31"/>
      <c r="T35" s="31"/>
      <c r="U35" s="31"/>
      <c r="V35" s="31"/>
      <c r="W35" s="31"/>
      <c r="X35" s="31"/>
      <c r="Y35" s="33" t="str">
        <f t="shared" si="5"/>
        <v/>
      </c>
    </row>
    <row r="36" spans="1:25" ht="38.25">
      <c r="A36" s="192"/>
      <c r="B36" s="100" t="s">
        <v>21</v>
      </c>
      <c r="C36" s="55" t="s">
        <v>270</v>
      </c>
      <c r="D36" s="100" t="s">
        <v>239</v>
      </c>
      <c r="E36" s="100" t="s">
        <v>240</v>
      </c>
      <c r="F36" s="100" t="s">
        <v>241</v>
      </c>
      <c r="G36" s="100" t="s">
        <v>164</v>
      </c>
      <c r="H36" s="31"/>
      <c r="I36" s="65" t="s">
        <v>266</v>
      </c>
      <c r="J36" s="31"/>
      <c r="K36" s="31">
        <v>2</v>
      </c>
      <c r="L36" s="31">
        <v>2</v>
      </c>
      <c r="M36" s="31">
        <v>2</v>
      </c>
      <c r="N36" s="31">
        <v>2</v>
      </c>
      <c r="O36" s="31">
        <f t="shared" si="0"/>
        <v>16</v>
      </c>
      <c r="P36" s="79" t="str">
        <f t="shared" si="1"/>
        <v>TRIVAL</v>
      </c>
      <c r="Q36" s="31" t="str">
        <f t="shared" si="2"/>
        <v>YES</v>
      </c>
      <c r="R36" s="31"/>
      <c r="S36" s="31"/>
      <c r="T36" s="31"/>
      <c r="U36" s="31"/>
      <c r="V36" s="31"/>
      <c r="W36" s="31"/>
      <c r="X36" s="31"/>
      <c r="Y36" s="33" t="str">
        <f t="shared" si="5"/>
        <v/>
      </c>
    </row>
    <row r="37" spans="1:25" ht="51">
      <c r="A37" s="188" t="s">
        <v>134</v>
      </c>
      <c r="B37" s="100" t="s">
        <v>7</v>
      </c>
      <c r="C37" s="55" t="s">
        <v>271</v>
      </c>
      <c r="D37" s="100" t="s">
        <v>239</v>
      </c>
      <c r="E37" s="100" t="s">
        <v>240</v>
      </c>
      <c r="F37" s="100" t="s">
        <v>241</v>
      </c>
      <c r="G37" s="100" t="s">
        <v>164</v>
      </c>
      <c r="H37" s="31"/>
      <c r="I37" s="31" t="s">
        <v>272</v>
      </c>
      <c r="J37" s="31" t="s">
        <v>273</v>
      </c>
      <c r="K37" s="31">
        <v>2</v>
      </c>
      <c r="L37" s="31">
        <v>2</v>
      </c>
      <c r="M37" s="31">
        <v>4</v>
      </c>
      <c r="N37" s="31">
        <v>2</v>
      </c>
      <c r="O37" s="31">
        <f t="shared" si="0"/>
        <v>32</v>
      </c>
      <c r="P37" s="79" t="str">
        <f t="shared" si="1"/>
        <v>TRIVAL</v>
      </c>
      <c r="Q37" s="31" t="str">
        <f t="shared" si="2"/>
        <v>YES</v>
      </c>
      <c r="R37" s="31"/>
      <c r="S37" s="31"/>
      <c r="T37" s="31"/>
      <c r="U37" s="31"/>
      <c r="V37" s="31"/>
      <c r="W37" s="31"/>
      <c r="X37" s="31"/>
      <c r="Y37" s="33" t="str">
        <f t="shared" si="5"/>
        <v/>
      </c>
    </row>
    <row r="38" spans="1:25" ht="25.5">
      <c r="A38" s="188"/>
      <c r="B38" s="100" t="s">
        <v>7</v>
      </c>
      <c r="C38" s="55" t="s">
        <v>274</v>
      </c>
      <c r="D38" s="100" t="s">
        <v>239</v>
      </c>
      <c r="E38" s="100" t="s">
        <v>240</v>
      </c>
      <c r="F38" s="100" t="s">
        <v>241</v>
      </c>
      <c r="G38" s="100" t="s">
        <v>164</v>
      </c>
      <c r="H38" s="31"/>
      <c r="I38" s="31" t="s">
        <v>275</v>
      </c>
      <c r="J38" s="31"/>
      <c r="K38" s="31"/>
      <c r="L38" s="31"/>
      <c r="M38" s="31"/>
      <c r="N38" s="31"/>
      <c r="O38" s="31"/>
      <c r="P38" s="79"/>
      <c r="Q38" s="31"/>
      <c r="R38" s="31"/>
      <c r="S38" s="31"/>
      <c r="T38" s="31"/>
      <c r="U38" s="31"/>
      <c r="V38" s="31"/>
      <c r="W38" s="31"/>
      <c r="X38" s="31"/>
      <c r="Y38" s="33"/>
    </row>
    <row r="39" spans="1:25" ht="25.5">
      <c r="A39" s="192"/>
      <c r="B39" s="100" t="s">
        <v>21</v>
      </c>
      <c r="C39" s="55" t="s">
        <v>276</v>
      </c>
      <c r="D39" s="100" t="s">
        <v>239</v>
      </c>
      <c r="E39" s="100" t="s">
        <v>240</v>
      </c>
      <c r="F39" s="100" t="s">
        <v>241</v>
      </c>
      <c r="G39" s="100" t="s">
        <v>164</v>
      </c>
      <c r="H39" s="31"/>
      <c r="I39" s="31" t="s">
        <v>277</v>
      </c>
      <c r="J39" s="31"/>
      <c r="K39" s="31">
        <v>2</v>
      </c>
      <c r="L39" s="31">
        <v>2</v>
      </c>
      <c r="M39" s="31">
        <v>2</v>
      </c>
      <c r="N39" s="31">
        <v>2</v>
      </c>
      <c r="O39" s="31">
        <f t="shared" si="0"/>
        <v>16</v>
      </c>
      <c r="P39" s="79" t="str">
        <f t="shared" si="1"/>
        <v>TRIVAL</v>
      </c>
      <c r="Q39" s="31" t="str">
        <f t="shared" si="2"/>
        <v>YES</v>
      </c>
      <c r="R39" s="31"/>
      <c r="S39" s="31"/>
      <c r="T39" s="31"/>
      <c r="U39" s="31"/>
      <c r="V39" s="31"/>
      <c r="W39" s="31"/>
      <c r="X39" s="31"/>
      <c r="Y39" s="33" t="str">
        <f t="shared" si="5"/>
        <v/>
      </c>
    </row>
    <row r="40" spans="1:25" ht="25.5">
      <c r="A40" s="188" t="s">
        <v>135</v>
      </c>
      <c r="B40" s="100" t="s">
        <v>7</v>
      </c>
      <c r="C40" s="55" t="s">
        <v>278</v>
      </c>
      <c r="D40" s="100" t="s">
        <v>239</v>
      </c>
      <c r="E40" s="100" t="s">
        <v>240</v>
      </c>
      <c r="F40" s="100" t="s">
        <v>241</v>
      </c>
      <c r="G40" s="100" t="s">
        <v>164</v>
      </c>
      <c r="H40" s="31"/>
      <c r="I40" s="31" t="s">
        <v>279</v>
      </c>
      <c r="J40" s="31"/>
      <c r="K40" s="31">
        <v>2</v>
      </c>
      <c r="L40" s="31">
        <v>2</v>
      </c>
      <c r="M40" s="31">
        <v>2</v>
      </c>
      <c r="N40" s="31">
        <v>2</v>
      </c>
      <c r="O40" s="31">
        <f t="shared" si="0"/>
        <v>16</v>
      </c>
      <c r="P40" s="79" t="str">
        <f t="shared" si="1"/>
        <v>TRIVAL</v>
      </c>
      <c r="Q40" s="31" t="str">
        <f t="shared" si="2"/>
        <v>YES</v>
      </c>
      <c r="R40" s="31"/>
      <c r="S40" s="31"/>
      <c r="T40" s="31"/>
      <c r="U40" s="31"/>
      <c r="V40" s="31"/>
      <c r="W40" s="31"/>
      <c r="X40" s="31"/>
      <c r="Y40" s="33" t="str">
        <f t="shared" si="5"/>
        <v/>
      </c>
    </row>
    <row r="41" spans="1:25" ht="25.5">
      <c r="A41" s="192"/>
      <c r="B41" s="100" t="s">
        <v>7</v>
      </c>
      <c r="C41" s="55" t="s">
        <v>280</v>
      </c>
      <c r="D41" s="100" t="s">
        <v>239</v>
      </c>
      <c r="E41" s="100" t="s">
        <v>240</v>
      </c>
      <c r="F41" s="100" t="s">
        <v>241</v>
      </c>
      <c r="G41" s="100" t="s">
        <v>164</v>
      </c>
      <c r="H41" s="31"/>
      <c r="I41" s="31" t="s">
        <v>279</v>
      </c>
      <c r="J41" s="31"/>
      <c r="K41" s="31">
        <v>2</v>
      </c>
      <c r="L41" s="31">
        <v>2</v>
      </c>
      <c r="M41" s="31">
        <v>2</v>
      </c>
      <c r="N41" s="31">
        <v>2</v>
      </c>
      <c r="O41" s="31">
        <f t="shared" si="0"/>
        <v>16</v>
      </c>
      <c r="P41" s="79" t="str">
        <f t="shared" si="1"/>
        <v>TRIVAL</v>
      </c>
      <c r="Q41" s="31" t="str">
        <f t="shared" si="2"/>
        <v>YES</v>
      </c>
      <c r="R41" s="31"/>
      <c r="S41" s="31"/>
      <c r="T41" s="31"/>
      <c r="U41" s="31"/>
      <c r="V41" s="31"/>
      <c r="W41" s="31"/>
      <c r="X41" s="31"/>
      <c r="Y41" s="33" t="str">
        <f t="shared" si="5"/>
        <v/>
      </c>
    </row>
    <row r="42" spans="1:25">
      <c r="A42" s="192"/>
      <c r="B42" s="100" t="s">
        <v>7</v>
      </c>
      <c r="C42" s="55" t="s">
        <v>281</v>
      </c>
      <c r="D42" s="100" t="s">
        <v>239</v>
      </c>
      <c r="E42" s="100" t="s">
        <v>240</v>
      </c>
      <c r="F42" s="100" t="s">
        <v>241</v>
      </c>
      <c r="G42" s="100" t="s">
        <v>164</v>
      </c>
      <c r="H42" s="31"/>
      <c r="I42" s="31" t="s">
        <v>279</v>
      </c>
      <c r="J42" s="31"/>
      <c r="K42" s="31">
        <v>2</v>
      </c>
      <c r="L42" s="31">
        <v>2</v>
      </c>
      <c r="M42" s="31">
        <v>2</v>
      </c>
      <c r="N42" s="31">
        <v>2</v>
      </c>
      <c r="O42" s="31">
        <f t="shared" si="0"/>
        <v>16</v>
      </c>
      <c r="P42" s="79" t="str">
        <f t="shared" si="1"/>
        <v>TRIVAL</v>
      </c>
      <c r="Q42" s="31" t="str">
        <f t="shared" si="2"/>
        <v>YES</v>
      </c>
      <c r="R42" s="31"/>
      <c r="S42" s="31"/>
      <c r="T42" s="31"/>
      <c r="U42" s="31"/>
      <c r="V42" s="31"/>
      <c r="W42" s="31"/>
      <c r="X42" s="31"/>
      <c r="Y42" s="33" t="str">
        <f t="shared" si="5"/>
        <v/>
      </c>
    </row>
    <row r="43" spans="1:25">
      <c r="A43" s="192"/>
      <c r="B43" s="100" t="s">
        <v>7</v>
      </c>
      <c r="C43" s="55" t="s">
        <v>282</v>
      </c>
      <c r="D43" s="100" t="s">
        <v>239</v>
      </c>
      <c r="E43" s="100" t="s">
        <v>240</v>
      </c>
      <c r="F43" s="100" t="s">
        <v>241</v>
      </c>
      <c r="G43" s="100" t="s">
        <v>164</v>
      </c>
      <c r="H43" s="31"/>
      <c r="I43" s="31" t="s">
        <v>279</v>
      </c>
      <c r="J43" s="31"/>
      <c r="K43" s="31">
        <v>2</v>
      </c>
      <c r="L43" s="31">
        <v>2</v>
      </c>
      <c r="M43" s="31">
        <v>2</v>
      </c>
      <c r="N43" s="31">
        <v>2</v>
      </c>
      <c r="O43" s="31">
        <f t="shared" si="0"/>
        <v>16</v>
      </c>
      <c r="P43" s="79" t="str">
        <f t="shared" si="1"/>
        <v>TRIVAL</v>
      </c>
      <c r="Q43" s="31" t="str">
        <f t="shared" si="2"/>
        <v>YES</v>
      </c>
      <c r="R43" s="31"/>
      <c r="S43" s="31"/>
      <c r="T43" s="31"/>
      <c r="U43" s="31"/>
      <c r="V43" s="31"/>
      <c r="W43" s="31"/>
      <c r="X43" s="31"/>
      <c r="Y43" s="33" t="str">
        <f t="shared" si="5"/>
        <v/>
      </c>
    </row>
    <row r="44" spans="1:25" ht="38.25">
      <c r="A44" s="188" t="s">
        <v>137</v>
      </c>
      <c r="B44" s="100" t="s">
        <v>7</v>
      </c>
      <c r="C44" s="55" t="s">
        <v>283</v>
      </c>
      <c r="D44" s="100" t="s">
        <v>239</v>
      </c>
      <c r="E44" s="100" t="s">
        <v>240</v>
      </c>
      <c r="F44" s="100" t="s">
        <v>241</v>
      </c>
      <c r="G44" s="100" t="s">
        <v>164</v>
      </c>
      <c r="H44" s="31"/>
      <c r="I44" s="31" t="s">
        <v>284</v>
      </c>
      <c r="J44" s="31"/>
      <c r="K44" s="31">
        <v>2</v>
      </c>
      <c r="L44" s="31">
        <v>2</v>
      </c>
      <c r="M44" s="31">
        <v>2</v>
      </c>
      <c r="N44" s="31">
        <v>2</v>
      </c>
      <c r="O44" s="31">
        <f t="shared" si="0"/>
        <v>16</v>
      </c>
      <c r="P44" s="79" t="str">
        <f t="shared" si="1"/>
        <v>TRIVAL</v>
      </c>
      <c r="Q44" s="31" t="str">
        <f t="shared" si="2"/>
        <v>YES</v>
      </c>
      <c r="R44" s="31"/>
      <c r="S44" s="31"/>
      <c r="T44" s="31"/>
      <c r="U44" s="31"/>
      <c r="V44" s="31"/>
      <c r="W44" s="31"/>
      <c r="X44" s="31"/>
      <c r="Y44" s="33" t="str">
        <f t="shared" si="5"/>
        <v/>
      </c>
    </row>
    <row r="45" spans="1:25" ht="38.25">
      <c r="A45" s="188"/>
      <c r="B45" s="100" t="s">
        <v>7</v>
      </c>
      <c r="C45" s="55" t="s">
        <v>285</v>
      </c>
      <c r="D45" s="100" t="s">
        <v>239</v>
      </c>
      <c r="E45" s="100" t="s">
        <v>240</v>
      </c>
      <c r="F45" s="100" t="s">
        <v>241</v>
      </c>
      <c r="G45" s="100" t="s">
        <v>164</v>
      </c>
      <c r="H45" s="31"/>
      <c r="I45" s="31" t="s">
        <v>284</v>
      </c>
      <c r="J45" s="31"/>
      <c r="K45" s="31">
        <v>2</v>
      </c>
      <c r="L45" s="31">
        <v>2</v>
      </c>
      <c r="M45" s="31">
        <v>2</v>
      </c>
      <c r="N45" s="31">
        <v>2</v>
      </c>
      <c r="O45" s="31">
        <f t="shared" si="0"/>
        <v>16</v>
      </c>
      <c r="P45" s="79" t="str">
        <f t="shared" si="1"/>
        <v>TRIVAL</v>
      </c>
      <c r="Q45" s="31" t="str">
        <f t="shared" si="2"/>
        <v>YES</v>
      </c>
      <c r="R45" s="31"/>
      <c r="S45" s="31"/>
      <c r="T45" s="31"/>
      <c r="U45" s="31"/>
      <c r="V45" s="31"/>
      <c r="W45" s="31"/>
      <c r="X45" s="31"/>
      <c r="Y45" s="33" t="str">
        <f t="shared" si="5"/>
        <v/>
      </c>
    </row>
    <row r="46" spans="1:25" ht="25.5">
      <c r="A46" s="188"/>
      <c r="B46" s="100" t="s">
        <v>7</v>
      </c>
      <c r="C46" s="55" t="s">
        <v>286</v>
      </c>
      <c r="D46" s="100" t="s">
        <v>239</v>
      </c>
      <c r="E46" s="100" t="s">
        <v>240</v>
      </c>
      <c r="F46" s="100" t="s">
        <v>241</v>
      </c>
      <c r="G46" s="100" t="s">
        <v>164</v>
      </c>
      <c r="H46" s="31"/>
      <c r="I46" s="31" t="s">
        <v>287</v>
      </c>
      <c r="J46" s="31"/>
      <c r="K46" s="31"/>
      <c r="L46" s="31"/>
      <c r="M46" s="31"/>
      <c r="N46" s="31"/>
      <c r="O46" s="31"/>
      <c r="P46" s="79"/>
      <c r="Q46" s="31"/>
      <c r="R46" s="31"/>
      <c r="S46" s="31"/>
      <c r="T46" s="31"/>
      <c r="U46" s="31"/>
      <c r="V46" s="31"/>
      <c r="W46" s="31"/>
      <c r="X46" s="31"/>
      <c r="Y46" s="33"/>
    </row>
    <row r="47" spans="1:25" ht="38.25">
      <c r="A47" s="188"/>
      <c r="B47" s="100" t="s">
        <v>7</v>
      </c>
      <c r="C47" s="55" t="s">
        <v>288</v>
      </c>
      <c r="D47" s="100" t="s">
        <v>239</v>
      </c>
      <c r="E47" s="100" t="s">
        <v>240</v>
      </c>
      <c r="F47" s="100" t="s">
        <v>241</v>
      </c>
      <c r="G47" s="100" t="s">
        <v>164</v>
      </c>
      <c r="H47" s="31"/>
      <c r="I47" s="31" t="s">
        <v>284</v>
      </c>
      <c r="J47" s="31"/>
      <c r="K47" s="31">
        <v>2</v>
      </c>
      <c r="L47" s="31">
        <v>2</v>
      </c>
      <c r="M47" s="31">
        <v>2</v>
      </c>
      <c r="N47" s="31">
        <v>2</v>
      </c>
      <c r="O47" s="31">
        <f t="shared" si="0"/>
        <v>16</v>
      </c>
      <c r="P47" s="79" t="str">
        <f t="shared" si="1"/>
        <v>TRIVAL</v>
      </c>
      <c r="Q47" s="31" t="str">
        <f t="shared" si="2"/>
        <v>YES</v>
      </c>
      <c r="R47" s="31"/>
      <c r="S47" s="31"/>
      <c r="T47" s="31"/>
      <c r="U47" s="31"/>
      <c r="V47" s="31"/>
      <c r="W47" s="31"/>
      <c r="X47" s="31"/>
      <c r="Y47" s="33" t="str">
        <f t="shared" si="5"/>
        <v/>
      </c>
    </row>
    <row r="48" spans="1:25" ht="38.25">
      <c r="A48" s="188" t="s">
        <v>138</v>
      </c>
      <c r="B48" s="100" t="s">
        <v>7</v>
      </c>
      <c r="C48" s="55" t="s">
        <v>289</v>
      </c>
      <c r="D48" s="100" t="s">
        <v>239</v>
      </c>
      <c r="E48" s="100" t="s">
        <v>240</v>
      </c>
      <c r="F48" s="100" t="s">
        <v>241</v>
      </c>
      <c r="G48" s="100" t="s">
        <v>164</v>
      </c>
      <c r="H48" s="31"/>
      <c r="I48" s="31" t="s">
        <v>290</v>
      </c>
      <c r="J48" s="31"/>
      <c r="K48" s="31">
        <v>2</v>
      </c>
      <c r="L48" s="31">
        <v>2</v>
      </c>
      <c r="M48" s="31">
        <v>2</v>
      </c>
      <c r="N48" s="31">
        <v>2</v>
      </c>
      <c r="O48" s="31">
        <f t="shared" si="0"/>
        <v>16</v>
      </c>
      <c r="P48" s="79" t="str">
        <f t="shared" si="1"/>
        <v>TRIVAL</v>
      </c>
      <c r="Q48" s="31" t="str">
        <f t="shared" si="2"/>
        <v>YES</v>
      </c>
      <c r="R48" s="31"/>
      <c r="S48" s="31"/>
      <c r="T48" s="31"/>
      <c r="U48" s="31"/>
      <c r="V48" s="31"/>
      <c r="W48" s="31"/>
      <c r="X48" s="31"/>
      <c r="Y48" s="33" t="str">
        <f t="shared" si="5"/>
        <v/>
      </c>
    </row>
    <row r="49" spans="1:25" ht="38.25">
      <c r="A49" s="192"/>
      <c r="B49" s="100" t="s">
        <v>5</v>
      </c>
      <c r="C49" s="55" t="s">
        <v>291</v>
      </c>
      <c r="D49" s="100" t="s">
        <v>239</v>
      </c>
      <c r="E49" s="100" t="s">
        <v>240</v>
      </c>
      <c r="F49" s="100" t="s">
        <v>241</v>
      </c>
      <c r="G49" s="100" t="s">
        <v>164</v>
      </c>
      <c r="H49" s="31"/>
      <c r="I49" s="31" t="s">
        <v>290</v>
      </c>
      <c r="J49" s="31"/>
      <c r="K49" s="31">
        <v>4</v>
      </c>
      <c r="L49" s="31">
        <v>2</v>
      </c>
      <c r="M49" s="31">
        <v>2</v>
      </c>
      <c r="N49" s="31">
        <v>2</v>
      </c>
      <c r="O49" s="31">
        <f t="shared" si="0"/>
        <v>32</v>
      </c>
      <c r="P49" s="79" t="str">
        <f t="shared" si="1"/>
        <v>TRIVAL</v>
      </c>
      <c r="Q49" s="31" t="str">
        <f t="shared" si="2"/>
        <v>YES</v>
      </c>
      <c r="R49" s="31"/>
      <c r="S49" s="31"/>
      <c r="T49" s="31"/>
      <c r="U49" s="31"/>
      <c r="V49" s="31"/>
      <c r="W49" s="31"/>
      <c r="X49" s="31"/>
      <c r="Y49" s="33" t="str">
        <f t="shared" si="5"/>
        <v/>
      </c>
    </row>
    <row r="50" spans="1:25" ht="38.25">
      <c r="A50" s="192"/>
      <c r="B50" s="100" t="s">
        <v>7</v>
      </c>
      <c r="C50" s="55" t="s">
        <v>292</v>
      </c>
      <c r="D50" s="100" t="s">
        <v>239</v>
      </c>
      <c r="E50" s="100" t="s">
        <v>240</v>
      </c>
      <c r="F50" s="100" t="s">
        <v>241</v>
      </c>
      <c r="G50" s="100" t="s">
        <v>164</v>
      </c>
      <c r="H50" s="31"/>
      <c r="I50" s="31" t="s">
        <v>290</v>
      </c>
      <c r="J50" s="31"/>
      <c r="K50" s="31">
        <v>2</v>
      </c>
      <c r="L50" s="31">
        <v>2</v>
      </c>
      <c r="M50" s="31">
        <v>2</v>
      </c>
      <c r="N50" s="31">
        <v>2</v>
      </c>
      <c r="O50" s="31">
        <f t="shared" si="0"/>
        <v>16</v>
      </c>
      <c r="P50" s="79" t="str">
        <f t="shared" si="1"/>
        <v>TRIVAL</v>
      </c>
      <c r="Q50" s="31" t="str">
        <f t="shared" si="2"/>
        <v>YES</v>
      </c>
      <c r="R50" s="31"/>
      <c r="S50" s="31"/>
      <c r="T50" s="31"/>
      <c r="U50" s="31"/>
      <c r="V50" s="31"/>
      <c r="W50" s="31"/>
      <c r="X50" s="31"/>
      <c r="Y50" s="33" t="str">
        <f t="shared" si="5"/>
        <v/>
      </c>
    </row>
    <row r="51" spans="1:25" ht="25.5">
      <c r="A51" s="189" t="s">
        <v>140</v>
      </c>
      <c r="B51" s="100" t="s">
        <v>7</v>
      </c>
      <c r="C51" s="55" t="s">
        <v>293</v>
      </c>
      <c r="D51" s="100" t="s">
        <v>239</v>
      </c>
      <c r="E51" s="100" t="s">
        <v>240</v>
      </c>
      <c r="F51" s="100" t="s">
        <v>241</v>
      </c>
      <c r="G51" s="100" t="s">
        <v>164</v>
      </c>
      <c r="H51" s="31"/>
      <c r="I51" s="31" t="s">
        <v>294</v>
      </c>
      <c r="J51" s="31"/>
      <c r="K51" s="31">
        <v>2</v>
      </c>
      <c r="L51" s="31">
        <v>2</v>
      </c>
      <c r="M51" s="31">
        <v>2</v>
      </c>
      <c r="N51" s="31">
        <v>2</v>
      </c>
      <c r="O51" s="31">
        <f t="shared" si="0"/>
        <v>16</v>
      </c>
      <c r="P51" s="79" t="str">
        <f t="shared" si="1"/>
        <v>TRIVAL</v>
      </c>
      <c r="Q51" s="31" t="str">
        <f t="shared" si="2"/>
        <v>YES</v>
      </c>
      <c r="R51" s="31"/>
      <c r="S51" s="31"/>
      <c r="T51" s="31"/>
      <c r="U51" s="31"/>
      <c r="V51" s="31"/>
      <c r="W51" s="31"/>
      <c r="X51" s="31"/>
      <c r="Y51" s="33" t="str">
        <f t="shared" si="5"/>
        <v/>
      </c>
    </row>
    <row r="52" spans="1:25" ht="25.5">
      <c r="A52" s="190"/>
      <c r="B52" s="100" t="s">
        <v>5</v>
      </c>
      <c r="C52" s="55" t="s">
        <v>295</v>
      </c>
      <c r="D52" s="100" t="s">
        <v>239</v>
      </c>
      <c r="E52" s="100" t="s">
        <v>240</v>
      </c>
      <c r="F52" s="100" t="s">
        <v>241</v>
      </c>
      <c r="G52" s="100" t="s">
        <v>164</v>
      </c>
      <c r="H52" s="31"/>
      <c r="I52" s="65" t="s">
        <v>296</v>
      </c>
      <c r="J52" s="31" t="s">
        <v>297</v>
      </c>
      <c r="K52" s="31">
        <v>4</v>
      </c>
      <c r="L52" s="31">
        <v>2</v>
      </c>
      <c r="M52" s="31">
        <v>2</v>
      </c>
      <c r="N52" s="31">
        <v>2</v>
      </c>
      <c r="O52" s="31">
        <f t="shared" si="0"/>
        <v>32</v>
      </c>
      <c r="P52" s="79" t="str">
        <f t="shared" si="1"/>
        <v>TRIVAL</v>
      </c>
      <c r="Q52" s="31" t="str">
        <f t="shared" si="2"/>
        <v>YES</v>
      </c>
      <c r="R52" s="31"/>
      <c r="S52" s="31"/>
      <c r="T52" s="31"/>
      <c r="U52" s="31"/>
      <c r="V52" s="31"/>
      <c r="W52" s="31"/>
      <c r="X52" s="31"/>
      <c r="Y52" s="33" t="str">
        <f t="shared" si="5"/>
        <v/>
      </c>
    </row>
    <row r="53" spans="1:25" ht="38.25">
      <c r="A53" s="190"/>
      <c r="B53" s="55" t="s">
        <v>17</v>
      </c>
      <c r="C53" s="55" t="s">
        <v>298</v>
      </c>
      <c r="D53" s="100" t="s">
        <v>239</v>
      </c>
      <c r="E53" s="100" t="s">
        <v>240</v>
      </c>
      <c r="F53" s="100" t="s">
        <v>241</v>
      </c>
      <c r="G53" s="100" t="s">
        <v>164</v>
      </c>
      <c r="H53" s="31"/>
      <c r="I53" s="31" t="s">
        <v>155</v>
      </c>
      <c r="J53" s="31"/>
      <c r="K53" s="31">
        <v>2</v>
      </c>
      <c r="L53" s="31">
        <v>2</v>
      </c>
      <c r="M53" s="31">
        <v>2</v>
      </c>
      <c r="N53" s="31">
        <v>2</v>
      </c>
      <c r="O53" s="31">
        <f t="shared" si="0"/>
        <v>16</v>
      </c>
      <c r="P53" s="79" t="str">
        <f t="shared" si="1"/>
        <v>TRIVAL</v>
      </c>
      <c r="Q53" s="31" t="str">
        <f t="shared" si="2"/>
        <v>YES</v>
      </c>
      <c r="R53" s="31"/>
      <c r="S53" s="31"/>
      <c r="T53" s="31"/>
      <c r="U53" s="31"/>
      <c r="V53" s="31"/>
      <c r="W53" s="31"/>
      <c r="X53" s="31"/>
      <c r="Y53" s="33" t="str">
        <f t="shared" si="5"/>
        <v/>
      </c>
    </row>
    <row r="54" spans="1:25">
      <c r="A54" s="190"/>
      <c r="B54" s="55" t="s">
        <v>9</v>
      </c>
      <c r="C54" s="55" t="s">
        <v>299</v>
      </c>
      <c r="D54" s="100" t="s">
        <v>239</v>
      </c>
      <c r="E54" s="100" t="s">
        <v>240</v>
      </c>
      <c r="F54" s="100" t="s">
        <v>241</v>
      </c>
      <c r="G54" s="100" t="s">
        <v>164</v>
      </c>
      <c r="H54" s="31"/>
      <c r="I54" s="31" t="s">
        <v>155</v>
      </c>
      <c r="J54" s="31"/>
      <c r="K54" s="31">
        <v>2</v>
      </c>
      <c r="L54" s="31">
        <v>2</v>
      </c>
      <c r="M54" s="31">
        <v>2</v>
      </c>
      <c r="N54" s="31">
        <v>2</v>
      </c>
      <c r="O54" s="31">
        <f t="shared" si="0"/>
        <v>16</v>
      </c>
      <c r="P54" s="79" t="str">
        <f t="shared" si="1"/>
        <v>TRIVAL</v>
      </c>
      <c r="Q54" s="31" t="str">
        <f t="shared" si="2"/>
        <v>YES</v>
      </c>
      <c r="R54" s="31"/>
      <c r="S54" s="31"/>
      <c r="T54" s="31"/>
      <c r="U54" s="31"/>
      <c r="V54" s="31"/>
      <c r="W54" s="31"/>
      <c r="X54" s="31"/>
      <c r="Y54" s="33" t="str">
        <f t="shared" si="5"/>
        <v/>
      </c>
    </row>
    <row r="55" spans="1:25" ht="25.5">
      <c r="A55" s="190"/>
      <c r="B55" s="55" t="s">
        <v>15</v>
      </c>
      <c r="C55" s="55" t="s">
        <v>300</v>
      </c>
      <c r="D55" s="100" t="s">
        <v>239</v>
      </c>
      <c r="E55" s="100" t="s">
        <v>240</v>
      </c>
      <c r="F55" s="100" t="s">
        <v>241</v>
      </c>
      <c r="G55" s="100" t="s">
        <v>164</v>
      </c>
      <c r="H55" s="31"/>
      <c r="I55" s="31" t="s">
        <v>155</v>
      </c>
      <c r="J55" s="31"/>
      <c r="K55" s="31">
        <v>2</v>
      </c>
      <c r="L55" s="31">
        <v>2</v>
      </c>
      <c r="M55" s="31">
        <v>2</v>
      </c>
      <c r="N55" s="31">
        <v>2</v>
      </c>
      <c r="O55" s="31">
        <f t="shared" si="0"/>
        <v>16</v>
      </c>
      <c r="P55" s="79" t="str">
        <f t="shared" si="1"/>
        <v>TRIVAL</v>
      </c>
      <c r="Q55" s="31" t="str">
        <f t="shared" si="2"/>
        <v>YES</v>
      </c>
      <c r="R55" s="31"/>
      <c r="S55" s="31"/>
      <c r="T55" s="31"/>
      <c r="U55" s="31"/>
      <c r="V55" s="31"/>
      <c r="W55" s="31"/>
      <c r="X55" s="31"/>
      <c r="Y55" s="33" t="str">
        <f t="shared" si="5"/>
        <v/>
      </c>
    </row>
    <row r="56" spans="1:25" ht="25.5">
      <c r="A56" s="190"/>
      <c r="B56" s="100" t="s">
        <v>264</v>
      </c>
      <c r="C56" s="55" t="s">
        <v>301</v>
      </c>
      <c r="D56" s="100" t="s">
        <v>239</v>
      </c>
      <c r="E56" s="100" t="s">
        <v>240</v>
      </c>
      <c r="F56" s="100" t="s">
        <v>241</v>
      </c>
      <c r="G56" s="100" t="s">
        <v>164</v>
      </c>
      <c r="H56" s="31"/>
      <c r="I56" s="65" t="s">
        <v>302</v>
      </c>
      <c r="J56" s="31"/>
      <c r="K56" s="31">
        <v>2</v>
      </c>
      <c r="L56" s="31">
        <v>2</v>
      </c>
      <c r="M56" s="31">
        <v>2</v>
      </c>
      <c r="N56" s="31">
        <v>2</v>
      </c>
      <c r="O56" s="31">
        <f>K56*L56*M56*N56</f>
        <v>16</v>
      </c>
      <c r="P56" s="79" t="str">
        <f>IF(O56&lt;251,IF(O56&lt;131,IF(O56&lt;73,IF(O56&lt;37,IF(O56&lt;16,"","TRIVAL"),"TOLERABLE"),"MODERATE"),"SUBSTANTIAL"),"INTOLERABLE")</f>
        <v>TRIVAL</v>
      </c>
      <c r="Q56" s="31" t="str">
        <f>IF(O56&gt;=16,IF(O56&gt;72,"NO","YES"),"")</f>
        <v>YES</v>
      </c>
      <c r="R56" s="52"/>
      <c r="S56" s="52"/>
      <c r="T56" s="31"/>
      <c r="U56" s="31"/>
      <c r="V56" s="31"/>
      <c r="W56" s="31"/>
      <c r="X56" s="31"/>
      <c r="Y56" s="33" t="str">
        <f>IF(X56&lt;251,IF(X56&lt;131,IF(X56&lt;73,IF(X56&lt;37,IF(X56&lt;16,"","TRIVAL"),"TOLERABLE"),"MODERATE"),"SUBSTANTIAL"),"INTOLERABLE")</f>
        <v/>
      </c>
    </row>
    <row r="57" spans="1:25" ht="25.5">
      <c r="A57" s="190"/>
      <c r="B57" s="100" t="s">
        <v>5</v>
      </c>
      <c r="C57" s="55" t="s">
        <v>303</v>
      </c>
      <c r="D57" s="100" t="s">
        <v>239</v>
      </c>
      <c r="E57" s="100" t="s">
        <v>240</v>
      </c>
      <c r="F57" s="100" t="s">
        <v>241</v>
      </c>
      <c r="G57" s="100" t="s">
        <v>164</v>
      </c>
      <c r="H57" s="31"/>
      <c r="I57" s="65" t="s">
        <v>304</v>
      </c>
      <c r="J57" s="31"/>
      <c r="K57" s="31">
        <v>2</v>
      </c>
      <c r="L57" s="31">
        <v>2</v>
      </c>
      <c r="M57" s="31">
        <v>4</v>
      </c>
      <c r="N57" s="31">
        <v>2</v>
      </c>
      <c r="O57" s="31">
        <f>K57*L57*M57*N57</f>
        <v>32</v>
      </c>
      <c r="P57" s="79" t="str">
        <f>IF(O57&lt;251,IF(O57&lt;131,IF(O57&lt;73,IF(O57&lt;37,IF(O57&lt;16,"","TRIVAL"),"TOLERABLE"),"MODERATE"),"SUBSTANTIAL"),"INTOLERABLE")</f>
        <v>TRIVAL</v>
      </c>
      <c r="Q57" s="31" t="str">
        <f>IF(O57&gt;=16,IF(O57&gt;72,"NO","YES"),"")</f>
        <v>YES</v>
      </c>
      <c r="R57" s="52"/>
      <c r="S57" s="52"/>
      <c r="T57" s="31"/>
      <c r="U57" s="31"/>
      <c r="V57" s="31"/>
      <c r="W57" s="31"/>
      <c r="X57" s="31"/>
      <c r="Y57" s="33" t="str">
        <f>IF(X57&lt;251,IF(X57&lt;131,IF(X57&lt;73,IF(X57&lt;37,IF(X57&lt;16,"","TRIVAL"),"TOLERABLE"),"MODERATE"),"SUBSTANTIAL"),"INTOLERABLE")</f>
        <v/>
      </c>
    </row>
    <row r="58" spans="1:25" ht="25.5">
      <c r="A58" s="190"/>
      <c r="B58" s="100" t="s">
        <v>5</v>
      </c>
      <c r="C58" s="55" t="s">
        <v>305</v>
      </c>
      <c r="D58" s="100" t="s">
        <v>239</v>
      </c>
      <c r="E58" s="100" t="s">
        <v>240</v>
      </c>
      <c r="F58" s="100" t="s">
        <v>241</v>
      </c>
      <c r="G58" s="100" t="s">
        <v>164</v>
      </c>
      <c r="H58" s="31"/>
      <c r="I58" s="65" t="s">
        <v>306</v>
      </c>
      <c r="J58" s="31"/>
      <c r="K58" s="31">
        <v>2</v>
      </c>
      <c r="L58" s="31">
        <v>2</v>
      </c>
      <c r="M58" s="31">
        <v>2</v>
      </c>
      <c r="N58" s="31">
        <v>2</v>
      </c>
      <c r="O58" s="31">
        <f>K58*L58*M58*N58</f>
        <v>16</v>
      </c>
      <c r="P58" s="79" t="str">
        <f>IF(O58&lt;251,IF(O58&lt;131,IF(O58&lt;73,IF(O58&lt;37,IF(O58&lt;16,"","TRIVAL"),"TOLERABLE"),"MODERATE"),"SUBSTANTIAL"),"INTOLERABLE")</f>
        <v>TRIVAL</v>
      </c>
      <c r="Q58" s="31" t="str">
        <f>IF(O58&gt;=16,IF(O58&gt;72,"NO","YES"),"")</f>
        <v>YES</v>
      </c>
      <c r="R58" s="52"/>
      <c r="S58" s="52"/>
      <c r="T58" s="31"/>
      <c r="U58" s="31"/>
      <c r="V58" s="31"/>
      <c r="W58" s="31"/>
      <c r="X58" s="31"/>
      <c r="Y58" s="33" t="str">
        <f>IF(X58&lt;251,IF(X58&lt;131,IF(X58&lt;73,IF(X58&lt;37,IF(X58&lt;16,"","TRIVAL"),"TOLERABLE"),"MODERATE"),"SUBSTANTIAL"),"INTOLERABLE")</f>
        <v/>
      </c>
    </row>
    <row r="59" spans="1:25" ht="25.5">
      <c r="A59" s="190"/>
      <c r="B59" s="100" t="s">
        <v>5</v>
      </c>
      <c r="C59" s="55" t="s">
        <v>307</v>
      </c>
      <c r="D59" s="100" t="s">
        <v>239</v>
      </c>
      <c r="E59" s="100" t="s">
        <v>240</v>
      </c>
      <c r="F59" s="100" t="s">
        <v>241</v>
      </c>
      <c r="G59" s="100" t="s">
        <v>164</v>
      </c>
      <c r="H59" s="31"/>
      <c r="I59" s="31" t="s">
        <v>308</v>
      </c>
      <c r="J59" s="31"/>
      <c r="K59" s="31">
        <v>2</v>
      </c>
      <c r="L59" s="31">
        <v>2</v>
      </c>
      <c r="M59" s="31">
        <v>2</v>
      </c>
      <c r="N59" s="31">
        <v>2</v>
      </c>
      <c r="O59" s="31">
        <f>K59*L59*M59*N59</f>
        <v>16</v>
      </c>
      <c r="P59" s="79" t="str">
        <f>IF(O59&lt;251,IF(O59&lt;131,IF(O59&lt;73,IF(O59&lt;37,IF(O59&lt;16,"","TRIVAL"),"TOLERABLE"),"MODERATE"),"SUBSTANTIAL"),"INTOLERABLE")</f>
        <v>TRIVAL</v>
      </c>
      <c r="Q59" s="31" t="str">
        <f>IF(O59&gt;=16,IF(O59&gt;72,"NO","YES"),"")</f>
        <v>YES</v>
      </c>
      <c r="R59" s="52"/>
      <c r="S59" s="52"/>
      <c r="T59" s="31"/>
      <c r="U59" s="31"/>
      <c r="V59" s="31"/>
      <c r="W59" s="31"/>
      <c r="X59" s="31"/>
      <c r="Y59" s="33" t="str">
        <f>IF(X59&lt;251,IF(X59&lt;131,IF(X59&lt;73,IF(X59&lt;37,IF(X59&lt;16,"","TRIVAL"),"TOLERABLE"),"MODERATE"),"SUBSTANTIAL"),"INTOLERABLE")</f>
        <v/>
      </c>
    </row>
    <row r="60" spans="1:25" ht="25.5">
      <c r="A60" s="190"/>
      <c r="B60" s="100" t="s">
        <v>5</v>
      </c>
      <c r="C60" s="55" t="s">
        <v>309</v>
      </c>
      <c r="D60" s="100" t="s">
        <v>239</v>
      </c>
      <c r="E60" s="100" t="s">
        <v>240</v>
      </c>
      <c r="F60" s="100" t="s">
        <v>241</v>
      </c>
      <c r="G60" s="100" t="s">
        <v>164</v>
      </c>
      <c r="H60" s="31"/>
      <c r="I60" s="31" t="s">
        <v>310</v>
      </c>
      <c r="J60" s="31" t="s">
        <v>311</v>
      </c>
      <c r="K60" s="31"/>
      <c r="L60" s="31"/>
      <c r="M60" s="31"/>
      <c r="N60" s="31"/>
      <c r="O60" s="31"/>
      <c r="P60" s="79"/>
      <c r="Q60" s="31"/>
      <c r="R60" s="52"/>
      <c r="S60" s="52"/>
      <c r="T60" s="31"/>
      <c r="U60" s="31"/>
      <c r="V60" s="31"/>
      <c r="W60" s="31"/>
      <c r="X60" s="31"/>
      <c r="Y60" s="33"/>
    </row>
    <row r="61" spans="1:25" ht="25.5">
      <c r="A61" s="191"/>
      <c r="B61" s="100" t="s">
        <v>7</v>
      </c>
      <c r="C61" s="55" t="s">
        <v>312</v>
      </c>
      <c r="D61" s="100" t="s">
        <v>239</v>
      </c>
      <c r="E61" s="100" t="s">
        <v>240</v>
      </c>
      <c r="F61" s="100" t="s">
        <v>241</v>
      </c>
      <c r="G61" s="100" t="s">
        <v>164</v>
      </c>
      <c r="H61" s="31"/>
      <c r="I61" s="65" t="s">
        <v>306</v>
      </c>
      <c r="J61" s="31"/>
      <c r="K61" s="31">
        <v>2</v>
      </c>
      <c r="L61" s="31">
        <v>2</v>
      </c>
      <c r="M61" s="31">
        <v>2</v>
      </c>
      <c r="N61" s="31">
        <v>2</v>
      </c>
      <c r="O61" s="31">
        <f>K61*L61*M61*N61</f>
        <v>16</v>
      </c>
      <c r="P61" s="79" t="str">
        <f>IF(O61&lt;251,IF(O61&lt;131,IF(O61&lt;73,IF(O61&lt;37,IF(O61&lt;16,"","TRIVAL"),"TOLERABLE"),"MODERATE"),"SUBSTANTIAL"),"INTOLERABLE")</f>
        <v>TRIVAL</v>
      </c>
      <c r="Q61" s="31" t="str">
        <f>IF(O61&gt;=16,IF(O61&gt;72,"NO","YES"),"")</f>
        <v>YES</v>
      </c>
      <c r="R61" s="52"/>
      <c r="S61" s="52"/>
      <c r="T61" s="31"/>
      <c r="U61" s="31"/>
      <c r="V61" s="31"/>
      <c r="W61" s="31"/>
      <c r="X61" s="31"/>
      <c r="Y61" s="33" t="str">
        <f>IF(X61&lt;251,IF(X61&lt;131,IF(X61&lt;73,IF(X61&lt;37,IF(X61&lt;16,"","TRIVAL"),"TOLERABLE"),"MODERATE"),"SUBSTANTIAL"),"INTOLERABLE")</f>
        <v/>
      </c>
    </row>
    <row r="62" spans="1:25" ht="38.25">
      <c r="A62" s="188" t="s">
        <v>142</v>
      </c>
      <c r="B62" s="100" t="s">
        <v>5</v>
      </c>
      <c r="C62" s="55" t="s">
        <v>313</v>
      </c>
      <c r="D62" s="100" t="s">
        <v>239</v>
      </c>
      <c r="E62" s="100" t="s">
        <v>240</v>
      </c>
      <c r="F62" s="100" t="s">
        <v>241</v>
      </c>
      <c r="G62" s="100" t="s">
        <v>164</v>
      </c>
      <c r="H62" s="31"/>
      <c r="I62" s="31" t="s">
        <v>314</v>
      </c>
      <c r="J62" s="31"/>
      <c r="K62" s="31">
        <v>4</v>
      </c>
      <c r="L62" s="31">
        <v>2</v>
      </c>
      <c r="M62" s="31">
        <v>2</v>
      </c>
      <c r="N62" s="31">
        <v>2</v>
      </c>
      <c r="O62" s="31">
        <f t="shared" ref="O62" si="9">K62*L62*M62*N62</f>
        <v>32</v>
      </c>
      <c r="P62" s="79" t="str">
        <f t="shared" si="1"/>
        <v>TRIVAL</v>
      </c>
      <c r="Q62" s="31" t="str">
        <f t="shared" si="2"/>
        <v>YES</v>
      </c>
      <c r="R62" s="31"/>
      <c r="S62" s="31"/>
      <c r="T62" s="31"/>
      <c r="U62" s="31"/>
      <c r="V62" s="31"/>
      <c r="W62" s="31"/>
      <c r="X62" s="31"/>
      <c r="Y62" s="33" t="str">
        <f t="shared" si="5"/>
        <v/>
      </c>
    </row>
    <row r="63" spans="1:25" ht="38.25">
      <c r="A63" s="192"/>
      <c r="B63" s="100" t="s">
        <v>5</v>
      </c>
      <c r="C63" s="55" t="s">
        <v>315</v>
      </c>
      <c r="D63" s="100" t="s">
        <v>239</v>
      </c>
      <c r="E63" s="100" t="s">
        <v>240</v>
      </c>
      <c r="F63" s="100" t="s">
        <v>241</v>
      </c>
      <c r="G63" s="100" t="s">
        <v>164</v>
      </c>
      <c r="H63" s="31"/>
      <c r="I63" s="31" t="s">
        <v>314</v>
      </c>
      <c r="J63" s="31"/>
      <c r="K63" s="31">
        <v>2</v>
      </c>
      <c r="L63" s="31">
        <v>2</v>
      </c>
      <c r="M63" s="31">
        <v>4</v>
      </c>
      <c r="N63" s="31">
        <v>2</v>
      </c>
      <c r="O63" s="31">
        <f t="shared" si="0"/>
        <v>32</v>
      </c>
      <c r="P63" s="79" t="str">
        <f t="shared" si="1"/>
        <v>TRIVAL</v>
      </c>
      <c r="Q63" s="31" t="str">
        <f t="shared" si="2"/>
        <v>YES</v>
      </c>
      <c r="R63" s="31"/>
      <c r="S63" s="31"/>
      <c r="T63" s="31"/>
      <c r="U63" s="31"/>
      <c r="V63" s="31"/>
      <c r="W63" s="31"/>
      <c r="X63" s="31"/>
      <c r="Y63" s="33" t="str">
        <f t="shared" si="5"/>
        <v/>
      </c>
    </row>
    <row r="64" spans="1:25" ht="38.25">
      <c r="A64" s="192"/>
      <c r="B64" s="100" t="s">
        <v>5</v>
      </c>
      <c r="C64" s="55" t="s">
        <v>316</v>
      </c>
      <c r="D64" s="100" t="s">
        <v>239</v>
      </c>
      <c r="E64" s="100" t="s">
        <v>240</v>
      </c>
      <c r="F64" s="100" t="s">
        <v>241</v>
      </c>
      <c r="G64" s="100" t="s">
        <v>164</v>
      </c>
      <c r="H64" s="31"/>
      <c r="I64" s="31" t="s">
        <v>314</v>
      </c>
      <c r="J64" s="31"/>
      <c r="K64" s="31">
        <v>2</v>
      </c>
      <c r="L64" s="31">
        <v>2</v>
      </c>
      <c r="M64" s="31">
        <v>2</v>
      </c>
      <c r="N64" s="31">
        <v>2</v>
      </c>
      <c r="O64" s="31">
        <f t="shared" si="0"/>
        <v>16</v>
      </c>
      <c r="P64" s="79" t="str">
        <f t="shared" si="1"/>
        <v>TRIVAL</v>
      </c>
      <c r="Q64" s="31" t="str">
        <f t="shared" si="2"/>
        <v>YES</v>
      </c>
      <c r="R64" s="31"/>
      <c r="S64" s="31"/>
      <c r="T64" s="31"/>
      <c r="U64" s="31"/>
      <c r="V64" s="31"/>
      <c r="W64" s="31"/>
      <c r="X64" s="31"/>
      <c r="Y64" s="33" t="str">
        <f t="shared" si="5"/>
        <v/>
      </c>
    </row>
    <row r="65" spans="1:25" ht="38.25">
      <c r="A65" s="192"/>
      <c r="B65" s="100" t="s">
        <v>5</v>
      </c>
      <c r="C65" s="55" t="s">
        <v>317</v>
      </c>
      <c r="D65" s="100" t="s">
        <v>239</v>
      </c>
      <c r="E65" s="100" t="s">
        <v>240</v>
      </c>
      <c r="F65" s="100" t="s">
        <v>241</v>
      </c>
      <c r="G65" s="100" t="s">
        <v>164</v>
      </c>
      <c r="H65" s="31"/>
      <c r="I65" s="31" t="s">
        <v>314</v>
      </c>
      <c r="J65" s="31"/>
      <c r="K65" s="31">
        <v>2</v>
      </c>
      <c r="L65" s="31">
        <v>2</v>
      </c>
      <c r="M65" s="31">
        <v>2</v>
      </c>
      <c r="N65" s="31">
        <v>2</v>
      </c>
      <c r="O65" s="31">
        <f t="shared" si="0"/>
        <v>16</v>
      </c>
      <c r="P65" s="79" t="str">
        <f t="shared" si="1"/>
        <v>TRIVAL</v>
      </c>
      <c r="Q65" s="31" t="str">
        <f t="shared" si="2"/>
        <v>YES</v>
      </c>
      <c r="R65" s="31"/>
      <c r="S65" s="31"/>
      <c r="T65" s="31"/>
      <c r="U65" s="31"/>
      <c r="V65" s="31"/>
      <c r="W65" s="31"/>
      <c r="X65" s="31"/>
      <c r="Y65" s="33" t="str">
        <f t="shared" si="5"/>
        <v/>
      </c>
    </row>
    <row r="66" spans="1:25" ht="38.25">
      <c r="A66" s="192"/>
      <c r="B66" s="100" t="s">
        <v>5</v>
      </c>
      <c r="C66" s="55" t="s">
        <v>318</v>
      </c>
      <c r="D66" s="100" t="s">
        <v>239</v>
      </c>
      <c r="E66" s="100" t="s">
        <v>240</v>
      </c>
      <c r="F66" s="100" t="s">
        <v>241</v>
      </c>
      <c r="G66" s="100" t="s">
        <v>164</v>
      </c>
      <c r="H66" s="31"/>
      <c r="I66" s="31" t="s">
        <v>314</v>
      </c>
      <c r="J66" s="31"/>
      <c r="K66" s="31">
        <v>2</v>
      </c>
      <c r="L66" s="31">
        <v>2</v>
      </c>
      <c r="M66" s="31">
        <v>4</v>
      </c>
      <c r="N66" s="31">
        <v>2</v>
      </c>
      <c r="O66" s="31">
        <f t="shared" si="0"/>
        <v>32</v>
      </c>
      <c r="P66" s="79" t="str">
        <f t="shared" si="1"/>
        <v>TRIVAL</v>
      </c>
      <c r="Q66" s="31" t="str">
        <f t="shared" si="2"/>
        <v>YES</v>
      </c>
      <c r="R66" s="31"/>
      <c r="S66" s="31"/>
      <c r="T66" s="31"/>
      <c r="U66" s="31"/>
      <c r="V66" s="31"/>
      <c r="W66" s="31"/>
      <c r="X66" s="31"/>
      <c r="Y66" s="33" t="str">
        <f t="shared" si="5"/>
        <v/>
      </c>
    </row>
    <row r="67" spans="1:25" ht="38.25">
      <c r="A67" s="192"/>
      <c r="B67" s="100" t="s">
        <v>5</v>
      </c>
      <c r="C67" s="55" t="s">
        <v>319</v>
      </c>
      <c r="D67" s="100" t="s">
        <v>239</v>
      </c>
      <c r="E67" s="100" t="s">
        <v>240</v>
      </c>
      <c r="F67" s="100" t="s">
        <v>241</v>
      </c>
      <c r="G67" s="100" t="s">
        <v>164</v>
      </c>
      <c r="H67" s="31"/>
      <c r="I67" s="31" t="s">
        <v>314</v>
      </c>
      <c r="J67" s="31"/>
      <c r="K67" s="31">
        <v>2</v>
      </c>
      <c r="L67" s="31">
        <v>2</v>
      </c>
      <c r="M67" s="31">
        <v>2</v>
      </c>
      <c r="N67" s="31">
        <v>2</v>
      </c>
      <c r="O67" s="31">
        <f t="shared" si="0"/>
        <v>16</v>
      </c>
      <c r="P67" s="79" t="str">
        <f t="shared" si="1"/>
        <v>TRIVAL</v>
      </c>
      <c r="Q67" s="31" t="str">
        <f t="shared" si="2"/>
        <v>YES</v>
      </c>
      <c r="R67" s="31"/>
      <c r="S67" s="31"/>
      <c r="T67" s="31"/>
      <c r="U67" s="31"/>
      <c r="V67" s="31"/>
      <c r="W67" s="31"/>
      <c r="X67" s="31"/>
      <c r="Y67" s="33" t="str">
        <f t="shared" si="5"/>
        <v/>
      </c>
    </row>
    <row r="68" spans="1:25" ht="38.25">
      <c r="A68" s="192"/>
      <c r="B68" s="100" t="s">
        <v>5</v>
      </c>
      <c r="C68" s="55" t="s">
        <v>320</v>
      </c>
      <c r="D68" s="100" t="s">
        <v>239</v>
      </c>
      <c r="E68" s="100" t="s">
        <v>240</v>
      </c>
      <c r="F68" s="100" t="s">
        <v>241</v>
      </c>
      <c r="G68" s="100" t="s">
        <v>164</v>
      </c>
      <c r="H68" s="31"/>
      <c r="I68" s="31" t="s">
        <v>314</v>
      </c>
      <c r="J68" s="31"/>
      <c r="K68" s="31">
        <v>2</v>
      </c>
      <c r="L68" s="31">
        <v>2</v>
      </c>
      <c r="M68" s="31">
        <v>2</v>
      </c>
      <c r="N68" s="31">
        <v>2</v>
      </c>
      <c r="O68" s="31">
        <f t="shared" si="0"/>
        <v>16</v>
      </c>
      <c r="P68" s="79" t="str">
        <f t="shared" si="1"/>
        <v>TRIVAL</v>
      </c>
      <c r="Q68" s="31" t="str">
        <f t="shared" si="2"/>
        <v>YES</v>
      </c>
      <c r="R68" s="31"/>
      <c r="S68" s="31"/>
      <c r="T68" s="31"/>
      <c r="U68" s="31"/>
      <c r="V68" s="31"/>
      <c r="W68" s="31"/>
      <c r="X68" s="31"/>
      <c r="Y68" s="33" t="str">
        <f t="shared" si="5"/>
        <v/>
      </c>
    </row>
    <row r="69" spans="1:25" ht="38.25">
      <c r="A69" s="192"/>
      <c r="B69" s="100" t="s">
        <v>25</v>
      </c>
      <c r="C69" s="55" t="s">
        <v>321</v>
      </c>
      <c r="D69" s="100" t="s">
        <v>239</v>
      </c>
      <c r="E69" s="100" t="s">
        <v>240</v>
      </c>
      <c r="F69" s="100" t="s">
        <v>241</v>
      </c>
      <c r="G69" s="100" t="s">
        <v>164</v>
      </c>
      <c r="H69" s="31"/>
      <c r="I69" s="31" t="s">
        <v>314</v>
      </c>
      <c r="J69" s="31"/>
      <c r="K69" s="31">
        <v>2</v>
      </c>
      <c r="L69" s="31">
        <v>2</v>
      </c>
      <c r="M69" s="31">
        <v>2</v>
      </c>
      <c r="N69" s="31">
        <v>2</v>
      </c>
      <c r="O69" s="31">
        <f t="shared" si="0"/>
        <v>16</v>
      </c>
      <c r="P69" s="79" t="str">
        <f t="shared" si="1"/>
        <v>TRIVAL</v>
      </c>
      <c r="Q69" s="31" t="str">
        <f t="shared" si="2"/>
        <v>YES</v>
      </c>
      <c r="R69" s="31"/>
      <c r="S69" s="31"/>
      <c r="T69" s="31"/>
      <c r="U69" s="31"/>
      <c r="V69" s="31"/>
      <c r="W69" s="31"/>
      <c r="X69" s="31"/>
      <c r="Y69" s="33" t="str">
        <f t="shared" si="5"/>
        <v/>
      </c>
    </row>
    <row r="70" spans="1:25" ht="25.5">
      <c r="A70" s="188" t="s">
        <v>144</v>
      </c>
      <c r="B70" s="100" t="s">
        <v>13</v>
      </c>
      <c r="C70" s="55" t="s">
        <v>322</v>
      </c>
      <c r="D70" s="100" t="s">
        <v>239</v>
      </c>
      <c r="E70" s="100" t="s">
        <v>240</v>
      </c>
      <c r="F70" s="100" t="s">
        <v>241</v>
      </c>
      <c r="G70" s="100" t="s">
        <v>164</v>
      </c>
      <c r="H70" s="31"/>
      <c r="I70" s="31" t="s">
        <v>279</v>
      </c>
      <c r="J70" s="31"/>
      <c r="K70" s="31">
        <v>2</v>
      </c>
      <c r="L70" s="31">
        <v>2</v>
      </c>
      <c r="M70" s="31">
        <v>2</v>
      </c>
      <c r="N70" s="31">
        <v>2</v>
      </c>
      <c r="O70" s="31">
        <f t="shared" si="0"/>
        <v>16</v>
      </c>
      <c r="P70" s="79" t="str">
        <f t="shared" si="1"/>
        <v>TRIVAL</v>
      </c>
      <c r="Q70" s="31" t="str">
        <f t="shared" si="2"/>
        <v>YES</v>
      </c>
      <c r="R70" s="31"/>
      <c r="S70" s="31"/>
      <c r="T70" s="31"/>
      <c r="U70" s="31"/>
      <c r="V70" s="31"/>
      <c r="W70" s="31"/>
      <c r="X70" s="31"/>
      <c r="Y70" s="33" t="str">
        <f t="shared" si="5"/>
        <v/>
      </c>
    </row>
    <row r="71" spans="1:25" ht="25.5">
      <c r="A71" s="192"/>
      <c r="B71" s="100" t="s">
        <v>5</v>
      </c>
      <c r="C71" s="55" t="s">
        <v>323</v>
      </c>
      <c r="D71" s="100" t="s">
        <v>239</v>
      </c>
      <c r="E71" s="100" t="s">
        <v>240</v>
      </c>
      <c r="F71" s="100" t="s">
        <v>241</v>
      </c>
      <c r="G71" s="100" t="s">
        <v>164</v>
      </c>
      <c r="H71" s="31"/>
      <c r="I71" s="31" t="s">
        <v>324</v>
      </c>
      <c r="J71" s="31"/>
      <c r="K71" s="31">
        <v>2</v>
      </c>
      <c r="L71" s="31">
        <v>2</v>
      </c>
      <c r="M71" s="31">
        <v>2</v>
      </c>
      <c r="N71" s="31">
        <v>2</v>
      </c>
      <c r="O71" s="31">
        <f t="shared" si="0"/>
        <v>16</v>
      </c>
      <c r="P71" s="79" t="str">
        <f t="shared" si="1"/>
        <v>TRIVAL</v>
      </c>
      <c r="Q71" s="31" t="str">
        <f t="shared" si="2"/>
        <v>YES</v>
      </c>
      <c r="R71" s="31"/>
      <c r="S71" s="31"/>
      <c r="T71" s="31"/>
      <c r="U71" s="31"/>
      <c r="V71" s="31"/>
      <c r="W71" s="31"/>
      <c r="X71" s="31"/>
      <c r="Y71" s="33" t="str">
        <f t="shared" ref="Y71:Y95" si="10">IF(X71&lt;251,IF(X71&lt;131,IF(X71&lt;73,IF(X71&lt;37,IF(X71&lt;16,"","TRIVAL"),"TOLERABLE"),"MODERATE"),"SUBSTANTIAL"),"INTOLERABLE")</f>
        <v/>
      </c>
    </row>
    <row r="72" spans="1:25" ht="25.5">
      <c r="A72" s="192"/>
      <c r="B72" s="100" t="s">
        <v>5</v>
      </c>
      <c r="C72" s="55" t="s">
        <v>325</v>
      </c>
      <c r="D72" s="100" t="s">
        <v>239</v>
      </c>
      <c r="E72" s="100" t="s">
        <v>240</v>
      </c>
      <c r="F72" s="100" t="s">
        <v>241</v>
      </c>
      <c r="G72" s="100" t="s">
        <v>164</v>
      </c>
      <c r="H72" s="31"/>
      <c r="I72" s="31" t="s">
        <v>324</v>
      </c>
      <c r="J72" s="31"/>
      <c r="K72" s="31">
        <v>2</v>
      </c>
      <c r="L72" s="31">
        <v>2</v>
      </c>
      <c r="M72" s="31">
        <v>2</v>
      </c>
      <c r="N72" s="31">
        <v>2</v>
      </c>
      <c r="O72" s="31">
        <f t="shared" si="0"/>
        <v>16</v>
      </c>
      <c r="P72" s="79" t="str">
        <f t="shared" si="1"/>
        <v>TRIVAL</v>
      </c>
      <c r="Q72" s="31" t="str">
        <f t="shared" si="2"/>
        <v>YES</v>
      </c>
      <c r="R72" s="31"/>
      <c r="S72" s="31"/>
      <c r="T72" s="31"/>
      <c r="U72" s="31"/>
      <c r="V72" s="31"/>
      <c r="W72" s="31"/>
      <c r="X72" s="31"/>
      <c r="Y72" s="33" t="str">
        <f t="shared" si="10"/>
        <v/>
      </c>
    </row>
    <row r="73" spans="1:25" ht="25.5">
      <c r="A73" s="192"/>
      <c r="B73" s="100" t="s">
        <v>7</v>
      </c>
      <c r="C73" s="55" t="s">
        <v>326</v>
      </c>
      <c r="D73" s="100" t="s">
        <v>239</v>
      </c>
      <c r="E73" s="100" t="s">
        <v>240</v>
      </c>
      <c r="F73" s="100" t="s">
        <v>241</v>
      </c>
      <c r="G73" s="100" t="s">
        <v>164</v>
      </c>
      <c r="H73" s="31"/>
      <c r="I73" s="31" t="s">
        <v>279</v>
      </c>
      <c r="J73" s="31"/>
      <c r="K73" s="31">
        <v>2</v>
      </c>
      <c r="L73" s="31">
        <v>2</v>
      </c>
      <c r="M73" s="31">
        <v>2</v>
      </c>
      <c r="N73" s="31">
        <v>2</v>
      </c>
      <c r="O73" s="31">
        <f t="shared" si="0"/>
        <v>16</v>
      </c>
      <c r="P73" s="79" t="str">
        <f t="shared" si="1"/>
        <v>TRIVAL</v>
      </c>
      <c r="Q73" s="31" t="str">
        <f t="shared" si="2"/>
        <v>YES</v>
      </c>
      <c r="R73" s="31"/>
      <c r="S73" s="31"/>
      <c r="T73" s="31"/>
      <c r="U73" s="31"/>
      <c r="V73" s="31"/>
      <c r="W73" s="31"/>
      <c r="X73" s="31"/>
      <c r="Y73" s="33" t="str">
        <f t="shared" si="10"/>
        <v/>
      </c>
    </row>
    <row r="74" spans="1:25" ht="25.5">
      <c r="A74" s="192"/>
      <c r="B74" s="100" t="s">
        <v>13</v>
      </c>
      <c r="C74" s="55" t="s">
        <v>327</v>
      </c>
      <c r="D74" s="100" t="s">
        <v>239</v>
      </c>
      <c r="E74" s="100" t="s">
        <v>240</v>
      </c>
      <c r="F74" s="100" t="s">
        <v>241</v>
      </c>
      <c r="G74" s="100" t="s">
        <v>164</v>
      </c>
      <c r="H74" s="31"/>
      <c r="I74" s="31" t="s">
        <v>279</v>
      </c>
      <c r="J74" s="31"/>
      <c r="K74" s="31">
        <v>2</v>
      </c>
      <c r="L74" s="31">
        <v>2</v>
      </c>
      <c r="M74" s="31">
        <v>2</v>
      </c>
      <c r="N74" s="31">
        <v>2</v>
      </c>
      <c r="O74" s="31">
        <f t="shared" si="0"/>
        <v>16</v>
      </c>
      <c r="P74" s="79" t="str">
        <f t="shared" si="1"/>
        <v>TRIVAL</v>
      </c>
      <c r="Q74" s="31" t="str">
        <f t="shared" si="2"/>
        <v>YES</v>
      </c>
      <c r="R74" s="31"/>
      <c r="S74" s="31"/>
      <c r="T74" s="31"/>
      <c r="U74" s="31"/>
      <c r="V74" s="31"/>
      <c r="W74" s="31"/>
      <c r="X74" s="31"/>
      <c r="Y74" s="33" t="str">
        <f t="shared" si="10"/>
        <v/>
      </c>
    </row>
    <row r="75" spans="1:25" ht="25.5">
      <c r="A75" s="192"/>
      <c r="B75" s="100" t="s">
        <v>13</v>
      </c>
      <c r="C75" s="55" t="s">
        <v>262</v>
      </c>
      <c r="D75" s="100" t="s">
        <v>239</v>
      </c>
      <c r="E75" s="100" t="s">
        <v>240</v>
      </c>
      <c r="F75" s="100" t="s">
        <v>241</v>
      </c>
      <c r="G75" s="100" t="s">
        <v>164</v>
      </c>
      <c r="H75" s="31"/>
      <c r="I75" s="31" t="s">
        <v>279</v>
      </c>
      <c r="J75" s="31"/>
      <c r="K75" s="31">
        <v>2</v>
      </c>
      <c r="L75" s="31">
        <v>2</v>
      </c>
      <c r="M75" s="31">
        <v>2</v>
      </c>
      <c r="N75" s="31">
        <v>2</v>
      </c>
      <c r="O75" s="31">
        <f t="shared" si="0"/>
        <v>16</v>
      </c>
      <c r="P75" s="79" t="str">
        <f t="shared" si="1"/>
        <v>TRIVAL</v>
      </c>
      <c r="Q75" s="31" t="str">
        <f t="shared" si="2"/>
        <v>YES</v>
      </c>
      <c r="R75" s="31"/>
      <c r="S75" s="31"/>
      <c r="T75" s="31"/>
      <c r="U75" s="31"/>
      <c r="V75" s="31"/>
      <c r="W75" s="31"/>
      <c r="X75" s="31"/>
      <c r="Y75" s="33" t="str">
        <f t="shared" si="10"/>
        <v/>
      </c>
    </row>
    <row r="76" spans="1:25" ht="38.25">
      <c r="A76" s="188" t="s">
        <v>146</v>
      </c>
      <c r="B76" s="100" t="s">
        <v>5</v>
      </c>
      <c r="C76" s="55" t="s">
        <v>328</v>
      </c>
      <c r="D76" s="100" t="s">
        <v>239</v>
      </c>
      <c r="E76" s="100" t="s">
        <v>240</v>
      </c>
      <c r="F76" s="100" t="s">
        <v>241</v>
      </c>
      <c r="G76" s="100" t="s">
        <v>164</v>
      </c>
      <c r="H76" s="31"/>
      <c r="I76" s="31" t="s">
        <v>329</v>
      </c>
      <c r="J76" s="31"/>
      <c r="K76" s="31">
        <v>2</v>
      </c>
      <c r="L76" s="31">
        <v>2</v>
      </c>
      <c r="M76" s="31">
        <v>2</v>
      </c>
      <c r="N76" s="31">
        <v>2</v>
      </c>
      <c r="O76" s="31">
        <f t="shared" si="0"/>
        <v>16</v>
      </c>
      <c r="P76" s="79" t="str">
        <f t="shared" si="1"/>
        <v>TRIVAL</v>
      </c>
      <c r="Q76" s="31" t="str">
        <f t="shared" si="2"/>
        <v>YES</v>
      </c>
      <c r="R76" s="31"/>
      <c r="S76" s="31"/>
      <c r="T76" s="31"/>
      <c r="U76" s="31"/>
      <c r="V76" s="31"/>
      <c r="W76" s="31"/>
      <c r="X76" s="31"/>
      <c r="Y76" s="33" t="str">
        <f t="shared" si="10"/>
        <v/>
      </c>
    </row>
    <row r="77" spans="1:25" ht="38.25">
      <c r="A77" s="192"/>
      <c r="B77" s="100" t="s">
        <v>5</v>
      </c>
      <c r="C77" s="55" t="s">
        <v>330</v>
      </c>
      <c r="D77" s="100" t="s">
        <v>239</v>
      </c>
      <c r="E77" s="100" t="s">
        <v>240</v>
      </c>
      <c r="F77" s="100" t="s">
        <v>241</v>
      </c>
      <c r="G77" s="100" t="s">
        <v>164</v>
      </c>
      <c r="H77" s="31"/>
      <c r="I77" s="31" t="s">
        <v>329</v>
      </c>
      <c r="J77" s="31"/>
      <c r="K77" s="31">
        <v>2</v>
      </c>
      <c r="L77" s="31">
        <v>2</v>
      </c>
      <c r="M77" s="31">
        <v>4</v>
      </c>
      <c r="N77" s="31">
        <v>2</v>
      </c>
      <c r="O77" s="31">
        <f t="shared" si="0"/>
        <v>32</v>
      </c>
      <c r="P77" s="79" t="str">
        <f t="shared" si="1"/>
        <v>TRIVAL</v>
      </c>
      <c r="Q77" s="31" t="str">
        <f t="shared" si="2"/>
        <v>YES</v>
      </c>
      <c r="R77" s="52"/>
      <c r="S77" s="52"/>
      <c r="T77" s="31"/>
      <c r="U77" s="31"/>
      <c r="V77" s="31"/>
      <c r="W77" s="31"/>
      <c r="X77" s="31"/>
      <c r="Y77" s="33" t="str">
        <f t="shared" si="10"/>
        <v/>
      </c>
    </row>
    <row r="78" spans="1:25" ht="38.25">
      <c r="A78" s="192"/>
      <c r="B78" s="100" t="s">
        <v>7</v>
      </c>
      <c r="C78" s="55" t="s">
        <v>331</v>
      </c>
      <c r="D78" s="100" t="s">
        <v>239</v>
      </c>
      <c r="E78" s="100" t="s">
        <v>240</v>
      </c>
      <c r="F78" s="100" t="s">
        <v>241</v>
      </c>
      <c r="G78" s="100" t="s">
        <v>164</v>
      </c>
      <c r="H78" s="31"/>
      <c r="I78" s="31" t="s">
        <v>329</v>
      </c>
      <c r="J78" s="31"/>
      <c r="K78" s="31">
        <v>2</v>
      </c>
      <c r="L78" s="31">
        <v>2</v>
      </c>
      <c r="M78" s="31">
        <v>2</v>
      </c>
      <c r="N78" s="31">
        <v>2</v>
      </c>
      <c r="O78" s="31">
        <f t="shared" si="0"/>
        <v>16</v>
      </c>
      <c r="P78" s="79" t="str">
        <f t="shared" si="1"/>
        <v>TRIVAL</v>
      </c>
      <c r="Q78" s="31" t="str">
        <f t="shared" si="2"/>
        <v>YES</v>
      </c>
      <c r="R78" s="52"/>
      <c r="S78" s="52"/>
      <c r="T78" s="31"/>
      <c r="U78" s="31"/>
      <c r="V78" s="31"/>
      <c r="W78" s="31"/>
      <c r="X78" s="31"/>
      <c r="Y78" s="33" t="str">
        <f t="shared" si="10"/>
        <v/>
      </c>
    </row>
    <row r="79" spans="1:25" ht="38.25">
      <c r="A79" s="192"/>
      <c r="B79" s="100" t="s">
        <v>5</v>
      </c>
      <c r="C79" s="55" t="s">
        <v>332</v>
      </c>
      <c r="D79" s="100" t="s">
        <v>239</v>
      </c>
      <c r="E79" s="100" t="s">
        <v>240</v>
      </c>
      <c r="F79" s="100" t="s">
        <v>241</v>
      </c>
      <c r="G79" s="100" t="s">
        <v>164</v>
      </c>
      <c r="H79" s="31"/>
      <c r="I79" s="31" t="s">
        <v>329</v>
      </c>
      <c r="J79" s="31"/>
      <c r="K79" s="31">
        <v>2</v>
      </c>
      <c r="L79" s="31">
        <v>2</v>
      </c>
      <c r="M79" s="31">
        <v>2</v>
      </c>
      <c r="N79" s="31">
        <v>2</v>
      </c>
      <c r="O79" s="31">
        <f t="shared" si="0"/>
        <v>16</v>
      </c>
      <c r="P79" s="79" t="str">
        <f t="shared" si="1"/>
        <v>TRIVAL</v>
      </c>
      <c r="Q79" s="31" t="str">
        <f t="shared" si="2"/>
        <v>YES</v>
      </c>
      <c r="R79" s="52"/>
      <c r="S79" s="52"/>
      <c r="T79" s="31"/>
      <c r="U79" s="31"/>
      <c r="V79" s="31"/>
      <c r="W79" s="31"/>
      <c r="X79" s="31"/>
      <c r="Y79" s="33" t="str">
        <f t="shared" si="10"/>
        <v/>
      </c>
    </row>
    <row r="80" spans="1:25" ht="38.25">
      <c r="A80" s="192"/>
      <c r="B80" s="100" t="s">
        <v>264</v>
      </c>
      <c r="C80" s="55" t="s">
        <v>333</v>
      </c>
      <c r="D80" s="100" t="s">
        <v>239</v>
      </c>
      <c r="E80" s="100" t="s">
        <v>240</v>
      </c>
      <c r="F80" s="100" t="s">
        <v>241</v>
      </c>
      <c r="G80" s="100" t="s">
        <v>164</v>
      </c>
      <c r="H80" s="31"/>
      <c r="I80" s="31" t="s">
        <v>329</v>
      </c>
      <c r="J80" s="31"/>
      <c r="K80" s="31">
        <v>2</v>
      </c>
      <c r="L80" s="31">
        <v>2</v>
      </c>
      <c r="M80" s="31">
        <v>2</v>
      </c>
      <c r="N80" s="31">
        <v>2</v>
      </c>
      <c r="O80" s="31">
        <f t="shared" si="0"/>
        <v>16</v>
      </c>
      <c r="P80" s="79" t="str">
        <f t="shared" si="1"/>
        <v>TRIVAL</v>
      </c>
      <c r="Q80" s="31" t="str">
        <f t="shared" si="2"/>
        <v>YES</v>
      </c>
      <c r="R80" s="52"/>
      <c r="S80" s="52"/>
      <c r="T80" s="31"/>
      <c r="U80" s="31"/>
      <c r="V80" s="31"/>
      <c r="W80" s="31"/>
      <c r="X80" s="31"/>
      <c r="Y80" s="33" t="str">
        <f t="shared" si="10"/>
        <v/>
      </c>
    </row>
    <row r="81" spans="1:25" ht="38.25">
      <c r="A81" s="192"/>
      <c r="B81" s="100" t="s">
        <v>7</v>
      </c>
      <c r="C81" s="55" t="s">
        <v>334</v>
      </c>
      <c r="D81" s="100" t="s">
        <v>239</v>
      </c>
      <c r="E81" s="100" t="s">
        <v>240</v>
      </c>
      <c r="F81" s="100" t="s">
        <v>241</v>
      </c>
      <c r="G81" s="100" t="s">
        <v>164</v>
      </c>
      <c r="H81" s="31"/>
      <c r="I81" s="31" t="s">
        <v>329</v>
      </c>
      <c r="J81" s="31"/>
      <c r="K81" s="31">
        <v>2</v>
      </c>
      <c r="L81" s="31">
        <v>2</v>
      </c>
      <c r="M81" s="31">
        <v>2</v>
      </c>
      <c r="N81" s="31">
        <v>2</v>
      </c>
      <c r="O81" s="31">
        <f t="shared" si="0"/>
        <v>16</v>
      </c>
      <c r="P81" s="79" t="str">
        <f t="shared" si="1"/>
        <v>TRIVAL</v>
      </c>
      <c r="Q81" s="31" t="str">
        <f t="shared" si="2"/>
        <v>YES</v>
      </c>
      <c r="R81" s="52"/>
      <c r="S81" s="52"/>
      <c r="T81" s="31"/>
      <c r="U81" s="31"/>
      <c r="V81" s="31"/>
      <c r="W81" s="31"/>
      <c r="X81" s="31"/>
      <c r="Y81" s="33" t="str">
        <f t="shared" si="10"/>
        <v/>
      </c>
    </row>
    <row r="82" spans="1:25" ht="25.5">
      <c r="A82" s="188" t="s">
        <v>150</v>
      </c>
      <c r="B82" s="100" t="s">
        <v>7</v>
      </c>
      <c r="C82" s="55" t="s">
        <v>335</v>
      </c>
      <c r="D82" s="100" t="s">
        <v>239</v>
      </c>
      <c r="E82" s="100" t="s">
        <v>240</v>
      </c>
      <c r="F82" s="100" t="s">
        <v>241</v>
      </c>
      <c r="G82" s="100" t="s">
        <v>164</v>
      </c>
      <c r="H82" s="31"/>
      <c r="I82" s="31" t="s">
        <v>336</v>
      </c>
      <c r="J82" s="31"/>
      <c r="K82" s="31">
        <v>2</v>
      </c>
      <c r="L82" s="31">
        <v>2</v>
      </c>
      <c r="M82" s="31">
        <v>2</v>
      </c>
      <c r="N82" s="31">
        <v>2</v>
      </c>
      <c r="O82" s="31">
        <f t="shared" ref="O82:O115" si="11">K82*L82*M82*N82</f>
        <v>16</v>
      </c>
      <c r="P82" s="79" t="str">
        <f t="shared" ref="P82:P115" si="12">IF(O82&lt;251,IF(O82&lt;131,IF(O82&lt;73,IF(O82&lt;37,IF(O82&lt;16,"","TRIVAL"),"TOLERABLE"),"MODERATE"),"SUBSTANTIAL"),"INTOLERABLE")</f>
        <v>TRIVAL</v>
      </c>
      <c r="Q82" s="31" t="str">
        <f t="shared" ref="Q82:Q115" si="13">IF(O82&gt;=16,IF(O82&gt;72,"NO","YES"),"")</f>
        <v>YES</v>
      </c>
      <c r="R82" s="52"/>
      <c r="S82" s="52"/>
      <c r="T82" s="31"/>
      <c r="U82" s="31"/>
      <c r="V82" s="31"/>
      <c r="W82" s="31"/>
      <c r="X82" s="31"/>
      <c r="Y82" s="33" t="str">
        <f t="shared" si="10"/>
        <v/>
      </c>
    </row>
    <row r="83" spans="1:25" ht="25.5">
      <c r="A83" s="192"/>
      <c r="B83" s="100" t="s">
        <v>5</v>
      </c>
      <c r="C83" s="55" t="s">
        <v>337</v>
      </c>
      <c r="D83" s="100" t="s">
        <v>239</v>
      </c>
      <c r="E83" s="100" t="s">
        <v>240</v>
      </c>
      <c r="F83" s="100" t="s">
        <v>241</v>
      </c>
      <c r="G83" s="100" t="s">
        <v>164</v>
      </c>
      <c r="H83" s="31"/>
      <c r="I83" s="31" t="s">
        <v>338</v>
      </c>
      <c r="J83" s="31"/>
      <c r="K83" s="31">
        <v>2</v>
      </c>
      <c r="L83" s="31">
        <v>2</v>
      </c>
      <c r="M83" s="31">
        <v>2</v>
      </c>
      <c r="N83" s="31">
        <v>2</v>
      </c>
      <c r="O83" s="31">
        <f t="shared" si="11"/>
        <v>16</v>
      </c>
      <c r="P83" s="79" t="str">
        <f t="shared" si="12"/>
        <v>TRIVAL</v>
      </c>
      <c r="Q83" s="31" t="str">
        <f t="shared" si="13"/>
        <v>YES</v>
      </c>
      <c r="R83" s="52"/>
      <c r="S83" s="52"/>
      <c r="T83" s="31"/>
      <c r="U83" s="31"/>
      <c r="V83" s="31"/>
      <c r="W83" s="31"/>
      <c r="X83" s="31"/>
      <c r="Y83" s="33" t="str">
        <f t="shared" si="10"/>
        <v/>
      </c>
    </row>
    <row r="84" spans="1:25">
      <c r="A84" s="192"/>
      <c r="B84" s="100" t="s">
        <v>5</v>
      </c>
      <c r="C84" s="55" t="s">
        <v>339</v>
      </c>
      <c r="D84" s="100" t="s">
        <v>239</v>
      </c>
      <c r="E84" s="100" t="s">
        <v>240</v>
      </c>
      <c r="F84" s="100" t="s">
        <v>241</v>
      </c>
      <c r="G84" s="100" t="s">
        <v>164</v>
      </c>
      <c r="H84" s="31"/>
      <c r="I84" s="31"/>
      <c r="J84" s="31" t="s">
        <v>340</v>
      </c>
      <c r="K84" s="31">
        <v>2</v>
      </c>
      <c r="L84" s="31">
        <v>2</v>
      </c>
      <c r="M84" s="31">
        <v>4</v>
      </c>
      <c r="N84" s="31">
        <v>2</v>
      </c>
      <c r="O84" s="31">
        <f t="shared" ref="O84" si="14">K84*L84*M84*N84</f>
        <v>32</v>
      </c>
      <c r="P84" s="79"/>
      <c r="Q84" s="31"/>
      <c r="R84" s="52"/>
      <c r="S84" s="52"/>
      <c r="T84" s="31"/>
      <c r="U84" s="31"/>
      <c r="V84" s="31"/>
      <c r="W84" s="31"/>
      <c r="X84" s="31"/>
      <c r="Y84" s="33"/>
    </row>
    <row r="85" spans="1:25" ht="38.25">
      <c r="A85" s="192"/>
      <c r="B85" s="100" t="s">
        <v>5</v>
      </c>
      <c r="C85" s="55" t="s">
        <v>339</v>
      </c>
      <c r="D85" s="100" t="s">
        <v>239</v>
      </c>
      <c r="E85" s="100" t="s">
        <v>240</v>
      </c>
      <c r="F85" s="100" t="s">
        <v>241</v>
      </c>
      <c r="G85" s="100" t="s">
        <v>164</v>
      </c>
      <c r="H85" s="31"/>
      <c r="I85" s="31"/>
      <c r="J85" s="31" t="s">
        <v>341</v>
      </c>
      <c r="K85" s="31">
        <v>2</v>
      </c>
      <c r="L85" s="31">
        <v>2</v>
      </c>
      <c r="M85" s="31">
        <v>4</v>
      </c>
      <c r="N85" s="31">
        <v>2</v>
      </c>
      <c r="O85" s="31">
        <f t="shared" si="11"/>
        <v>32</v>
      </c>
      <c r="P85" s="79" t="str">
        <f t="shared" si="12"/>
        <v>TRIVAL</v>
      </c>
      <c r="Q85" s="31" t="str">
        <f t="shared" si="13"/>
        <v>YES</v>
      </c>
      <c r="R85" s="52"/>
      <c r="S85" s="52"/>
      <c r="T85" s="31"/>
      <c r="U85" s="31"/>
      <c r="V85" s="31"/>
      <c r="W85" s="31"/>
      <c r="X85" s="31"/>
      <c r="Y85" s="33" t="str">
        <f t="shared" si="10"/>
        <v/>
      </c>
    </row>
    <row r="86" spans="1:25">
      <c r="A86" s="188" t="s">
        <v>152</v>
      </c>
      <c r="B86" s="100" t="s">
        <v>5</v>
      </c>
      <c r="C86" s="55" t="s">
        <v>342</v>
      </c>
      <c r="D86" s="100" t="s">
        <v>239</v>
      </c>
      <c r="E86" s="100" t="s">
        <v>240</v>
      </c>
      <c r="F86" s="100" t="s">
        <v>241</v>
      </c>
      <c r="G86" s="100" t="s">
        <v>164</v>
      </c>
      <c r="H86" s="31"/>
      <c r="I86" s="31" t="s">
        <v>155</v>
      </c>
      <c r="J86" s="31"/>
      <c r="K86" s="31">
        <v>2</v>
      </c>
      <c r="L86" s="31">
        <v>2</v>
      </c>
      <c r="M86" s="31">
        <v>2</v>
      </c>
      <c r="N86" s="31">
        <v>2</v>
      </c>
      <c r="O86" s="31">
        <f t="shared" si="11"/>
        <v>16</v>
      </c>
      <c r="P86" s="79" t="str">
        <f t="shared" si="12"/>
        <v>TRIVAL</v>
      </c>
      <c r="Q86" s="31" t="str">
        <f t="shared" si="13"/>
        <v>YES</v>
      </c>
      <c r="R86" s="52"/>
      <c r="S86" s="52"/>
      <c r="T86" s="31"/>
      <c r="U86" s="31"/>
      <c r="V86" s="31"/>
      <c r="W86" s="31"/>
      <c r="X86" s="31"/>
      <c r="Y86" s="33" t="str">
        <f t="shared" si="10"/>
        <v/>
      </c>
    </row>
    <row r="87" spans="1:25">
      <c r="A87" s="192"/>
      <c r="B87" s="100" t="s">
        <v>5</v>
      </c>
      <c r="C87" s="55" t="s">
        <v>343</v>
      </c>
      <c r="D87" s="100" t="s">
        <v>239</v>
      </c>
      <c r="E87" s="100" t="s">
        <v>240</v>
      </c>
      <c r="F87" s="100" t="s">
        <v>241</v>
      </c>
      <c r="G87" s="100" t="s">
        <v>164</v>
      </c>
      <c r="H87" s="31"/>
      <c r="I87" s="31" t="s">
        <v>155</v>
      </c>
      <c r="J87" s="31"/>
      <c r="K87" s="31">
        <v>2</v>
      </c>
      <c r="L87" s="31">
        <v>2</v>
      </c>
      <c r="M87" s="31">
        <v>2</v>
      </c>
      <c r="N87" s="31">
        <v>2</v>
      </c>
      <c r="O87" s="31">
        <f t="shared" si="11"/>
        <v>16</v>
      </c>
      <c r="P87" s="79" t="str">
        <f t="shared" si="12"/>
        <v>TRIVAL</v>
      </c>
      <c r="Q87" s="31" t="str">
        <f t="shared" si="13"/>
        <v>YES</v>
      </c>
      <c r="R87" s="52"/>
      <c r="S87" s="52"/>
      <c r="T87" s="31"/>
      <c r="U87" s="31"/>
      <c r="V87" s="31"/>
      <c r="W87" s="31"/>
      <c r="X87" s="31"/>
      <c r="Y87" s="33" t="str">
        <f t="shared" si="10"/>
        <v/>
      </c>
    </row>
    <row r="88" spans="1:25" ht="25.5">
      <c r="A88" s="188" t="s">
        <v>344</v>
      </c>
      <c r="B88" s="100" t="s">
        <v>5</v>
      </c>
      <c r="C88" s="55" t="s">
        <v>345</v>
      </c>
      <c r="D88" s="100" t="s">
        <v>239</v>
      </c>
      <c r="E88" s="100" t="s">
        <v>240</v>
      </c>
      <c r="F88" s="100" t="s">
        <v>241</v>
      </c>
      <c r="G88" s="100" t="s">
        <v>164</v>
      </c>
      <c r="H88" s="31"/>
      <c r="I88" s="31" t="s">
        <v>155</v>
      </c>
      <c r="J88" s="31"/>
      <c r="K88" s="31">
        <v>2</v>
      </c>
      <c r="L88" s="31">
        <v>2</v>
      </c>
      <c r="M88" s="31">
        <v>2</v>
      </c>
      <c r="N88" s="31">
        <v>2</v>
      </c>
      <c r="O88" s="31">
        <f t="shared" si="11"/>
        <v>16</v>
      </c>
      <c r="P88" s="79" t="str">
        <f t="shared" si="12"/>
        <v>TRIVAL</v>
      </c>
      <c r="Q88" s="31" t="str">
        <f t="shared" si="13"/>
        <v>YES</v>
      </c>
      <c r="R88" s="52"/>
      <c r="S88" s="52"/>
      <c r="T88" s="31"/>
      <c r="U88" s="31"/>
      <c r="V88" s="31"/>
      <c r="W88" s="31"/>
      <c r="X88" s="31"/>
      <c r="Y88" s="33" t="str">
        <f t="shared" si="10"/>
        <v/>
      </c>
    </row>
    <row r="89" spans="1:25" ht="25.5">
      <c r="A89" s="192"/>
      <c r="B89" s="100" t="s">
        <v>5</v>
      </c>
      <c r="C89" s="55" t="s">
        <v>346</v>
      </c>
      <c r="D89" s="100" t="s">
        <v>239</v>
      </c>
      <c r="E89" s="100" t="s">
        <v>240</v>
      </c>
      <c r="F89" s="100" t="s">
        <v>241</v>
      </c>
      <c r="G89" s="100" t="s">
        <v>164</v>
      </c>
      <c r="H89" s="31"/>
      <c r="I89" s="31" t="s">
        <v>155</v>
      </c>
      <c r="J89" s="31"/>
      <c r="K89" s="31">
        <v>2</v>
      </c>
      <c r="L89" s="31">
        <v>2</v>
      </c>
      <c r="M89" s="31">
        <v>2</v>
      </c>
      <c r="N89" s="31">
        <v>2</v>
      </c>
      <c r="O89" s="31">
        <f t="shared" si="11"/>
        <v>16</v>
      </c>
      <c r="P89" s="79" t="str">
        <f t="shared" si="12"/>
        <v>TRIVAL</v>
      </c>
      <c r="Q89" s="31" t="str">
        <f t="shared" si="13"/>
        <v>YES</v>
      </c>
      <c r="R89" s="52"/>
      <c r="S89" s="52"/>
      <c r="T89" s="31"/>
      <c r="U89" s="31"/>
      <c r="V89" s="31"/>
      <c r="W89" s="31"/>
      <c r="X89" s="31"/>
      <c r="Y89" s="33" t="str">
        <f t="shared" si="10"/>
        <v/>
      </c>
    </row>
    <row r="90" spans="1:25" ht="25.5">
      <c r="A90" s="192"/>
      <c r="B90" s="100" t="s">
        <v>7</v>
      </c>
      <c r="C90" s="55" t="s">
        <v>347</v>
      </c>
      <c r="D90" s="100" t="s">
        <v>239</v>
      </c>
      <c r="E90" s="100" t="s">
        <v>240</v>
      </c>
      <c r="F90" s="100" t="s">
        <v>241</v>
      </c>
      <c r="G90" s="100" t="s">
        <v>164</v>
      </c>
      <c r="H90" s="31"/>
      <c r="I90" s="65" t="s">
        <v>348</v>
      </c>
      <c r="J90" s="65" t="s">
        <v>349</v>
      </c>
      <c r="K90" s="31"/>
      <c r="L90" s="31"/>
      <c r="M90" s="31"/>
      <c r="N90" s="31"/>
      <c r="O90" s="31"/>
      <c r="P90" s="79"/>
      <c r="Q90" s="31"/>
      <c r="R90" s="52"/>
      <c r="S90" s="52"/>
      <c r="T90" s="31"/>
      <c r="U90" s="31"/>
      <c r="V90" s="31"/>
      <c r="W90" s="31"/>
      <c r="X90" s="31"/>
      <c r="Y90" s="33"/>
    </row>
    <row r="91" spans="1:25">
      <c r="A91" s="192"/>
      <c r="B91" s="100" t="s">
        <v>7</v>
      </c>
      <c r="C91" s="55" t="s">
        <v>350</v>
      </c>
      <c r="D91" s="100" t="s">
        <v>239</v>
      </c>
      <c r="E91" s="100" t="s">
        <v>240</v>
      </c>
      <c r="F91" s="100" t="s">
        <v>241</v>
      </c>
      <c r="G91" s="100" t="s">
        <v>164</v>
      </c>
      <c r="H91" s="31"/>
      <c r="I91" s="31" t="s">
        <v>351</v>
      </c>
      <c r="J91" s="31"/>
      <c r="K91" s="31">
        <v>2</v>
      </c>
      <c r="L91" s="31">
        <v>2</v>
      </c>
      <c r="M91" s="31">
        <v>2</v>
      </c>
      <c r="N91" s="31">
        <v>2</v>
      </c>
      <c r="O91" s="31">
        <f t="shared" si="11"/>
        <v>16</v>
      </c>
      <c r="P91" s="79" t="str">
        <f t="shared" si="12"/>
        <v>TRIVAL</v>
      </c>
      <c r="Q91" s="31" t="str">
        <f t="shared" si="13"/>
        <v>YES</v>
      </c>
      <c r="R91" s="52"/>
      <c r="S91" s="52"/>
      <c r="T91" s="31"/>
      <c r="U91" s="31"/>
      <c r="V91" s="31"/>
      <c r="W91" s="31"/>
      <c r="X91" s="31"/>
      <c r="Y91" s="33" t="str">
        <f t="shared" si="10"/>
        <v/>
      </c>
    </row>
    <row r="92" spans="1:25">
      <c r="A92" s="192"/>
      <c r="B92" s="100" t="s">
        <v>7</v>
      </c>
      <c r="C92" s="55" t="s">
        <v>352</v>
      </c>
      <c r="D92" s="100" t="s">
        <v>239</v>
      </c>
      <c r="E92" s="100" t="s">
        <v>240</v>
      </c>
      <c r="F92" s="100" t="s">
        <v>241</v>
      </c>
      <c r="G92" s="100" t="s">
        <v>164</v>
      </c>
      <c r="H92" s="31"/>
      <c r="I92" s="31" t="s">
        <v>351</v>
      </c>
      <c r="J92" s="31"/>
      <c r="K92" s="31">
        <v>2</v>
      </c>
      <c r="L92" s="31">
        <v>2</v>
      </c>
      <c r="M92" s="31">
        <v>2</v>
      </c>
      <c r="N92" s="31">
        <v>2</v>
      </c>
      <c r="O92" s="31">
        <f t="shared" si="11"/>
        <v>16</v>
      </c>
      <c r="P92" s="79" t="str">
        <f t="shared" si="12"/>
        <v>TRIVAL</v>
      </c>
      <c r="Q92" s="31" t="str">
        <f t="shared" si="13"/>
        <v>YES</v>
      </c>
      <c r="R92" s="52"/>
      <c r="S92" s="52"/>
      <c r="T92" s="31"/>
      <c r="U92" s="31"/>
      <c r="V92" s="31"/>
      <c r="W92" s="31"/>
      <c r="X92" s="31"/>
      <c r="Y92" s="33" t="str">
        <f t="shared" si="10"/>
        <v/>
      </c>
    </row>
    <row r="93" spans="1:25">
      <c r="A93" s="192"/>
      <c r="B93" s="100" t="s">
        <v>5</v>
      </c>
      <c r="C93" s="55" t="s">
        <v>353</v>
      </c>
      <c r="D93" s="100" t="s">
        <v>239</v>
      </c>
      <c r="E93" s="100" t="s">
        <v>240</v>
      </c>
      <c r="F93" s="100" t="s">
        <v>241</v>
      </c>
      <c r="G93" s="100" t="s">
        <v>164</v>
      </c>
      <c r="H93" s="31"/>
      <c r="I93" s="31" t="s">
        <v>155</v>
      </c>
      <c r="J93" s="31"/>
      <c r="K93" s="31">
        <v>2</v>
      </c>
      <c r="L93" s="31">
        <v>2</v>
      </c>
      <c r="M93" s="31">
        <v>2</v>
      </c>
      <c r="N93" s="31">
        <v>2</v>
      </c>
      <c r="O93" s="31">
        <f t="shared" si="11"/>
        <v>16</v>
      </c>
      <c r="P93" s="79" t="str">
        <f t="shared" si="12"/>
        <v>TRIVAL</v>
      </c>
      <c r="Q93" s="31" t="str">
        <f t="shared" si="13"/>
        <v>YES</v>
      </c>
      <c r="R93" s="52"/>
      <c r="S93" s="52"/>
      <c r="T93" s="31"/>
      <c r="U93" s="31"/>
      <c r="V93" s="31"/>
      <c r="W93" s="31"/>
      <c r="X93" s="31"/>
      <c r="Y93" s="33" t="str">
        <f t="shared" si="10"/>
        <v/>
      </c>
    </row>
    <row r="94" spans="1:25" ht="63.75">
      <c r="A94" s="192"/>
      <c r="B94" s="100" t="s">
        <v>35</v>
      </c>
      <c r="C94" s="55" t="s">
        <v>354</v>
      </c>
      <c r="D94" s="100" t="s">
        <v>239</v>
      </c>
      <c r="E94" s="100" t="s">
        <v>240</v>
      </c>
      <c r="F94" s="100" t="s">
        <v>241</v>
      </c>
      <c r="G94" s="100" t="s">
        <v>174</v>
      </c>
      <c r="H94" s="31"/>
      <c r="I94" s="31" t="s">
        <v>355</v>
      </c>
      <c r="J94" s="65" t="s">
        <v>356</v>
      </c>
      <c r="K94" s="31">
        <v>4</v>
      </c>
      <c r="L94" s="31">
        <v>3</v>
      </c>
      <c r="M94" s="31">
        <v>3</v>
      </c>
      <c r="N94" s="31">
        <v>3</v>
      </c>
      <c r="O94" s="31">
        <f t="shared" si="11"/>
        <v>108</v>
      </c>
      <c r="P94" s="79" t="str">
        <f t="shared" si="12"/>
        <v>MODERATE</v>
      </c>
      <c r="Q94" s="31" t="str">
        <f t="shared" si="13"/>
        <v>NO</v>
      </c>
      <c r="R94" s="52"/>
      <c r="S94" s="80" t="s">
        <v>357</v>
      </c>
      <c r="T94" s="31">
        <v>2</v>
      </c>
      <c r="U94" s="31">
        <v>3</v>
      </c>
      <c r="V94" s="31">
        <v>3</v>
      </c>
      <c r="W94" s="31">
        <v>3</v>
      </c>
      <c r="X94" s="31">
        <f t="shared" ref="X94:X95" si="15">T94*U94*V94*W94</f>
        <v>54</v>
      </c>
      <c r="Y94" s="79" t="str">
        <f t="shared" si="10"/>
        <v>TOLERABLE</v>
      </c>
    </row>
    <row r="95" spans="1:25" ht="38.25">
      <c r="A95" s="192"/>
      <c r="B95" s="100" t="s">
        <v>7</v>
      </c>
      <c r="C95" s="55" t="s">
        <v>358</v>
      </c>
      <c r="D95" s="100" t="s">
        <v>359</v>
      </c>
      <c r="E95" s="100"/>
      <c r="F95" s="100"/>
      <c r="G95" s="100" t="s">
        <v>174</v>
      </c>
      <c r="H95" s="31"/>
      <c r="I95" s="65" t="s">
        <v>360</v>
      </c>
      <c r="J95" s="65" t="s">
        <v>361</v>
      </c>
      <c r="K95" s="31">
        <v>4</v>
      </c>
      <c r="L95" s="31">
        <v>3</v>
      </c>
      <c r="M95" s="31">
        <v>3</v>
      </c>
      <c r="N95" s="31">
        <v>2</v>
      </c>
      <c r="O95" s="31">
        <f t="shared" si="11"/>
        <v>72</v>
      </c>
      <c r="P95" s="79" t="str">
        <f t="shared" si="12"/>
        <v>TOLERABLE</v>
      </c>
      <c r="Q95" s="31" t="str">
        <f t="shared" si="13"/>
        <v>YES</v>
      </c>
      <c r="R95" s="52"/>
      <c r="S95" s="80" t="s">
        <v>362</v>
      </c>
      <c r="T95" s="31">
        <v>2</v>
      </c>
      <c r="U95" s="31">
        <v>3</v>
      </c>
      <c r="V95" s="31">
        <v>3</v>
      </c>
      <c r="W95" s="31">
        <v>2</v>
      </c>
      <c r="X95" s="31">
        <f t="shared" si="15"/>
        <v>36</v>
      </c>
      <c r="Y95" s="79" t="str">
        <f t="shared" si="10"/>
        <v>TRIVAL</v>
      </c>
    </row>
    <row r="96" spans="1:25" ht="51">
      <c r="A96" s="192"/>
      <c r="B96" s="100" t="s">
        <v>7</v>
      </c>
      <c r="C96" s="55" t="s">
        <v>363</v>
      </c>
      <c r="D96" s="100" t="s">
        <v>359</v>
      </c>
      <c r="E96" s="100"/>
      <c r="F96" s="100"/>
      <c r="G96" s="100" t="s">
        <v>174</v>
      </c>
      <c r="H96" s="31"/>
      <c r="I96" s="65" t="s">
        <v>364</v>
      </c>
      <c r="J96" s="65" t="s">
        <v>365</v>
      </c>
      <c r="K96" s="31">
        <v>2</v>
      </c>
      <c r="L96" s="31">
        <v>3</v>
      </c>
      <c r="M96" s="31">
        <v>2</v>
      </c>
      <c r="N96" s="31">
        <v>2</v>
      </c>
      <c r="O96" s="31">
        <f t="shared" si="11"/>
        <v>24</v>
      </c>
      <c r="P96" s="79" t="str">
        <f t="shared" si="12"/>
        <v>TRIVAL</v>
      </c>
      <c r="Q96" s="31" t="str">
        <f t="shared" si="13"/>
        <v>YES</v>
      </c>
      <c r="R96" s="52"/>
      <c r="S96" s="80"/>
      <c r="T96" s="31"/>
      <c r="U96" s="31"/>
      <c r="V96" s="31"/>
      <c r="W96" s="31"/>
      <c r="X96" s="31"/>
      <c r="Y96" s="33"/>
    </row>
    <row r="97" spans="1:25" ht="25.5">
      <c r="A97" s="192"/>
      <c r="B97" s="100" t="s">
        <v>7</v>
      </c>
      <c r="C97" s="55" t="s">
        <v>366</v>
      </c>
      <c r="D97" s="100" t="s">
        <v>359</v>
      </c>
      <c r="E97" s="100"/>
      <c r="F97" s="100"/>
      <c r="G97" s="100" t="s">
        <v>174</v>
      </c>
      <c r="H97" s="31"/>
      <c r="I97" s="31"/>
      <c r="J97" s="65" t="s">
        <v>367</v>
      </c>
      <c r="K97" s="31">
        <v>3</v>
      </c>
      <c r="L97" s="31">
        <v>3</v>
      </c>
      <c r="M97" s="31">
        <v>2</v>
      </c>
      <c r="N97" s="31">
        <v>2</v>
      </c>
      <c r="O97" s="31">
        <f t="shared" si="11"/>
        <v>36</v>
      </c>
      <c r="P97" s="79" t="str">
        <f t="shared" si="12"/>
        <v>TRIVAL</v>
      </c>
      <c r="Q97" s="31" t="str">
        <f t="shared" si="13"/>
        <v>YES</v>
      </c>
      <c r="R97" s="52"/>
      <c r="S97" s="80"/>
      <c r="T97" s="31"/>
      <c r="U97" s="31"/>
      <c r="V97" s="31"/>
      <c r="W97" s="31"/>
      <c r="X97" s="31"/>
      <c r="Y97" s="33"/>
    </row>
    <row r="98" spans="1:25" ht="25.5">
      <c r="A98" s="192"/>
      <c r="B98" s="100" t="s">
        <v>7</v>
      </c>
      <c r="C98" s="55" t="s">
        <v>368</v>
      </c>
      <c r="D98" s="100" t="s">
        <v>359</v>
      </c>
      <c r="E98" s="100"/>
      <c r="F98" s="100"/>
      <c r="G98" s="100" t="s">
        <v>174</v>
      </c>
      <c r="H98" s="31"/>
      <c r="I98" s="65" t="s">
        <v>369</v>
      </c>
      <c r="J98" s="65" t="s">
        <v>370</v>
      </c>
      <c r="K98" s="31">
        <v>3</v>
      </c>
      <c r="L98" s="31">
        <v>3</v>
      </c>
      <c r="M98" s="31">
        <v>3</v>
      </c>
      <c r="N98" s="31">
        <v>2</v>
      </c>
      <c r="O98" s="31">
        <f t="shared" si="11"/>
        <v>54</v>
      </c>
      <c r="P98" s="79" t="str">
        <f t="shared" si="12"/>
        <v>TOLERABLE</v>
      </c>
      <c r="Q98" s="31" t="str">
        <f t="shared" si="13"/>
        <v>YES</v>
      </c>
      <c r="R98" s="52"/>
      <c r="S98" s="65"/>
      <c r="T98" s="31"/>
      <c r="U98" s="31"/>
      <c r="V98" s="31"/>
      <c r="W98" s="31"/>
      <c r="X98" s="79"/>
      <c r="Y98" s="31"/>
    </row>
    <row r="99" spans="1:25" ht="25.5">
      <c r="A99" s="192"/>
      <c r="B99" s="100" t="s">
        <v>5</v>
      </c>
      <c r="C99" s="55" t="s">
        <v>371</v>
      </c>
      <c r="D99" s="100" t="s">
        <v>239</v>
      </c>
      <c r="E99" s="100" t="s">
        <v>240</v>
      </c>
      <c r="F99" s="100" t="s">
        <v>241</v>
      </c>
      <c r="G99" s="100" t="s">
        <v>164</v>
      </c>
      <c r="H99" s="31"/>
      <c r="I99" s="65" t="s">
        <v>372</v>
      </c>
      <c r="J99" s="65" t="s">
        <v>373</v>
      </c>
      <c r="K99" s="31">
        <v>4</v>
      </c>
      <c r="L99" s="31">
        <v>3</v>
      </c>
      <c r="M99" s="31">
        <v>3</v>
      </c>
      <c r="N99" s="31">
        <v>2</v>
      </c>
      <c r="O99" s="31">
        <f t="shared" si="11"/>
        <v>72</v>
      </c>
      <c r="P99" s="79" t="str">
        <f t="shared" si="12"/>
        <v>TOLERABLE</v>
      </c>
      <c r="Q99" s="31" t="str">
        <f t="shared" si="13"/>
        <v>YES</v>
      </c>
      <c r="R99" s="52"/>
      <c r="S99" s="80" t="s">
        <v>374</v>
      </c>
      <c r="T99" s="31">
        <v>3</v>
      </c>
      <c r="U99" s="31">
        <v>3</v>
      </c>
      <c r="V99" s="31">
        <v>3</v>
      </c>
      <c r="W99" s="31">
        <v>2</v>
      </c>
      <c r="X99" s="31">
        <f t="shared" ref="X99" si="16">T99*U99*V99*W99</f>
        <v>54</v>
      </c>
      <c r="Y99" s="79" t="str">
        <f t="shared" ref="Y99" si="17">IF(X99&lt;251,IF(X99&lt;131,IF(X99&lt;73,IF(X99&lt;37,IF(X99&lt;16,"","TRIVAL"),"TOLERABLE"),"MODERATE"),"SUBSTANTIAL"),"INTOLERABLE")</f>
        <v>TOLERABLE</v>
      </c>
    </row>
    <row r="100" spans="1:25" ht="25.5">
      <c r="A100" s="78" t="s">
        <v>375</v>
      </c>
      <c r="B100" s="70" t="s">
        <v>7</v>
      </c>
      <c r="C100" s="71" t="s">
        <v>376</v>
      </c>
      <c r="D100" s="70" t="s">
        <v>239</v>
      </c>
      <c r="E100" s="70"/>
      <c r="F100" s="70"/>
      <c r="G100" s="70" t="s">
        <v>174</v>
      </c>
      <c r="H100" s="72"/>
      <c r="I100" s="72" t="s">
        <v>351</v>
      </c>
      <c r="J100" s="73"/>
      <c r="K100" s="72">
        <v>3</v>
      </c>
      <c r="L100" s="72">
        <v>3</v>
      </c>
      <c r="M100" s="72">
        <v>3</v>
      </c>
      <c r="N100" s="72">
        <v>2</v>
      </c>
      <c r="O100" s="72">
        <f t="shared" ref="O100" si="18">K100*L100*M100*N100</f>
        <v>54</v>
      </c>
      <c r="P100" s="74" t="str">
        <f t="shared" ref="P100" si="19">IF(O100&lt;251,IF(O100&lt;131,IF(O100&lt;73,IF(O100&lt;37,IF(O100&lt;16,"","TRIVAL"),"TOLERABLE"),"MODERATE"),"SUBSTANTIAL"),"INTOLERABLE")</f>
        <v>TOLERABLE</v>
      </c>
      <c r="Q100" s="72" t="str">
        <f t="shared" ref="Q100" si="20">IF(O100&gt;=16,IF(O100&gt;72,"NO","YES"),"")</f>
        <v>YES</v>
      </c>
      <c r="R100" s="75"/>
      <c r="S100" s="76"/>
      <c r="T100" s="72"/>
      <c r="U100" s="72"/>
      <c r="V100" s="72"/>
      <c r="W100" s="72"/>
      <c r="X100" s="72"/>
      <c r="Y100" s="77"/>
    </row>
    <row r="101" spans="1:25">
      <c r="A101" s="188" t="s">
        <v>157</v>
      </c>
      <c r="B101" s="100" t="s">
        <v>21</v>
      </c>
      <c r="C101" s="55" t="s">
        <v>377</v>
      </c>
      <c r="D101" s="100" t="s">
        <v>239</v>
      </c>
      <c r="E101" s="100" t="s">
        <v>240</v>
      </c>
      <c r="F101" s="100" t="s">
        <v>241</v>
      </c>
      <c r="G101" s="100" t="s">
        <v>164</v>
      </c>
      <c r="H101" s="31"/>
      <c r="I101" s="31" t="s">
        <v>378</v>
      </c>
      <c r="J101" s="31"/>
      <c r="K101" s="31">
        <v>2</v>
      </c>
      <c r="L101" s="31">
        <v>2</v>
      </c>
      <c r="M101" s="31">
        <v>2</v>
      </c>
      <c r="N101" s="31">
        <v>2</v>
      </c>
      <c r="O101" s="31">
        <f t="shared" si="11"/>
        <v>16</v>
      </c>
      <c r="P101" s="79" t="str">
        <f t="shared" si="12"/>
        <v>TRIVAL</v>
      </c>
      <c r="Q101" s="31" t="str">
        <f t="shared" si="13"/>
        <v>YES</v>
      </c>
      <c r="R101" s="52"/>
      <c r="S101" s="52"/>
      <c r="T101" s="31"/>
      <c r="U101" s="31"/>
      <c r="V101" s="31"/>
      <c r="W101" s="31"/>
      <c r="X101" s="31"/>
      <c r="Y101" s="33"/>
    </row>
    <row r="102" spans="1:25" ht="25.5">
      <c r="A102" s="192"/>
      <c r="B102" s="100" t="s">
        <v>5</v>
      </c>
      <c r="C102" s="55" t="s">
        <v>379</v>
      </c>
      <c r="D102" s="100" t="s">
        <v>239</v>
      </c>
      <c r="E102" s="100" t="s">
        <v>240</v>
      </c>
      <c r="F102" s="100" t="s">
        <v>241</v>
      </c>
      <c r="G102" s="100" t="s">
        <v>164</v>
      </c>
      <c r="H102" s="31"/>
      <c r="I102" s="31" t="s">
        <v>155</v>
      </c>
      <c r="J102" s="31"/>
      <c r="K102" s="31">
        <v>2</v>
      </c>
      <c r="L102" s="31">
        <v>2</v>
      </c>
      <c r="M102" s="31">
        <v>2</v>
      </c>
      <c r="N102" s="31">
        <v>2</v>
      </c>
      <c r="O102" s="31">
        <f t="shared" si="11"/>
        <v>16</v>
      </c>
      <c r="P102" s="79" t="str">
        <f t="shared" si="12"/>
        <v>TRIVAL</v>
      </c>
      <c r="Q102" s="31" t="str">
        <f t="shared" si="13"/>
        <v>YES</v>
      </c>
      <c r="R102" s="52"/>
      <c r="S102" s="52"/>
      <c r="T102" s="31"/>
      <c r="U102" s="31"/>
      <c r="V102" s="31"/>
      <c r="W102" s="31"/>
      <c r="X102" s="31"/>
      <c r="Y102" s="33"/>
    </row>
    <row r="103" spans="1:25" ht="25.5">
      <c r="A103" s="192"/>
      <c r="B103" s="100" t="s">
        <v>21</v>
      </c>
      <c r="C103" s="55" t="s">
        <v>380</v>
      </c>
      <c r="D103" s="100" t="s">
        <v>239</v>
      </c>
      <c r="E103" s="100" t="s">
        <v>240</v>
      </c>
      <c r="F103" s="100" t="s">
        <v>241</v>
      </c>
      <c r="G103" s="100" t="s">
        <v>164</v>
      </c>
      <c r="H103" s="31"/>
      <c r="I103" s="31" t="s">
        <v>155</v>
      </c>
      <c r="J103" s="31"/>
      <c r="K103" s="31">
        <v>2</v>
      </c>
      <c r="L103" s="31">
        <v>2</v>
      </c>
      <c r="M103" s="31">
        <v>2</v>
      </c>
      <c r="N103" s="31">
        <v>2</v>
      </c>
      <c r="O103" s="31">
        <f t="shared" si="11"/>
        <v>16</v>
      </c>
      <c r="P103" s="79" t="str">
        <f t="shared" si="12"/>
        <v>TRIVAL</v>
      </c>
      <c r="Q103" s="31" t="str">
        <f t="shared" si="13"/>
        <v>YES</v>
      </c>
      <c r="R103" s="52"/>
      <c r="S103" s="52"/>
      <c r="T103" s="31"/>
      <c r="U103" s="31"/>
      <c r="V103" s="31"/>
      <c r="W103" s="31"/>
      <c r="X103" s="31"/>
      <c r="Y103" s="33"/>
    </row>
    <row r="104" spans="1:25" ht="25.5">
      <c r="A104" s="188" t="s">
        <v>381</v>
      </c>
      <c r="B104" s="100" t="s">
        <v>5</v>
      </c>
      <c r="C104" s="55" t="s">
        <v>382</v>
      </c>
      <c r="D104" s="100" t="s">
        <v>239</v>
      </c>
      <c r="E104" s="100" t="s">
        <v>240</v>
      </c>
      <c r="F104" s="100" t="s">
        <v>241</v>
      </c>
      <c r="G104" s="100" t="s">
        <v>164</v>
      </c>
      <c r="H104" s="31"/>
      <c r="I104" s="31" t="s">
        <v>155</v>
      </c>
      <c r="J104" s="31"/>
      <c r="K104" s="31">
        <v>2</v>
      </c>
      <c r="L104" s="31">
        <v>2</v>
      </c>
      <c r="M104" s="31">
        <v>2</v>
      </c>
      <c r="N104" s="31">
        <v>2</v>
      </c>
      <c r="O104" s="31">
        <f t="shared" si="11"/>
        <v>16</v>
      </c>
      <c r="P104" s="79" t="str">
        <f t="shared" si="12"/>
        <v>TRIVAL</v>
      </c>
      <c r="Q104" s="31" t="str">
        <f t="shared" si="13"/>
        <v>YES</v>
      </c>
      <c r="R104" s="52"/>
      <c r="S104" s="52"/>
      <c r="T104" s="31"/>
      <c r="U104" s="31"/>
      <c r="V104" s="31"/>
      <c r="W104" s="31"/>
      <c r="X104" s="31"/>
      <c r="Y104" s="33"/>
    </row>
    <row r="105" spans="1:25">
      <c r="A105" s="188"/>
      <c r="B105" s="100" t="s">
        <v>5</v>
      </c>
      <c r="C105" s="55" t="s">
        <v>353</v>
      </c>
      <c r="D105" s="100" t="s">
        <v>239</v>
      </c>
      <c r="E105" s="100" t="s">
        <v>240</v>
      </c>
      <c r="F105" s="100" t="s">
        <v>241</v>
      </c>
      <c r="G105" s="100" t="s">
        <v>164</v>
      </c>
      <c r="H105" s="31"/>
      <c r="I105" s="31" t="s">
        <v>155</v>
      </c>
      <c r="J105" s="31"/>
      <c r="K105" s="31">
        <v>2</v>
      </c>
      <c r="L105" s="31">
        <v>2</v>
      </c>
      <c r="M105" s="31">
        <v>2</v>
      </c>
      <c r="N105" s="31">
        <v>2</v>
      </c>
      <c r="O105" s="31">
        <f t="shared" si="11"/>
        <v>16</v>
      </c>
      <c r="P105" s="79" t="str">
        <f t="shared" si="12"/>
        <v>TRIVAL</v>
      </c>
      <c r="Q105" s="31" t="str">
        <f t="shared" si="13"/>
        <v>YES</v>
      </c>
      <c r="R105" s="52"/>
      <c r="S105" s="52"/>
      <c r="T105" s="31"/>
      <c r="U105" s="31"/>
      <c r="V105" s="31"/>
      <c r="W105" s="31"/>
      <c r="X105" s="31"/>
      <c r="Y105" s="33"/>
    </row>
    <row r="106" spans="1:25">
      <c r="A106" s="188"/>
      <c r="B106" s="100" t="s">
        <v>5</v>
      </c>
      <c r="C106" s="55" t="s">
        <v>383</v>
      </c>
      <c r="D106" s="100" t="s">
        <v>239</v>
      </c>
      <c r="E106" s="100" t="s">
        <v>240</v>
      </c>
      <c r="F106" s="100" t="s">
        <v>241</v>
      </c>
      <c r="G106" s="100" t="s">
        <v>164</v>
      </c>
      <c r="H106" s="31"/>
      <c r="I106" s="31" t="s">
        <v>155</v>
      </c>
      <c r="J106" s="31"/>
      <c r="K106" s="31">
        <v>2</v>
      </c>
      <c r="L106" s="31">
        <v>2</v>
      </c>
      <c r="M106" s="31">
        <v>2</v>
      </c>
      <c r="N106" s="31">
        <v>2</v>
      </c>
      <c r="O106" s="31">
        <f t="shared" si="11"/>
        <v>16</v>
      </c>
      <c r="P106" s="79" t="str">
        <f t="shared" si="12"/>
        <v>TRIVAL</v>
      </c>
      <c r="Q106" s="31" t="str">
        <f t="shared" si="13"/>
        <v>YES</v>
      </c>
      <c r="R106" s="52"/>
      <c r="S106" s="52"/>
      <c r="T106" s="31"/>
      <c r="U106" s="31"/>
      <c r="V106" s="31"/>
      <c r="W106" s="31"/>
      <c r="X106" s="31"/>
      <c r="Y106" s="33"/>
    </row>
    <row r="107" spans="1:25" ht="38.25">
      <c r="A107" s="188"/>
      <c r="B107" s="100" t="s">
        <v>7</v>
      </c>
      <c r="C107" s="55" t="s">
        <v>384</v>
      </c>
      <c r="D107" s="100" t="s">
        <v>239</v>
      </c>
      <c r="E107" s="100" t="s">
        <v>240</v>
      </c>
      <c r="F107" s="100" t="s">
        <v>241</v>
      </c>
      <c r="G107" s="100" t="s">
        <v>164</v>
      </c>
      <c r="H107" s="65" t="s">
        <v>385</v>
      </c>
      <c r="I107" s="31" t="s">
        <v>386</v>
      </c>
      <c r="J107" s="31" t="s">
        <v>387</v>
      </c>
      <c r="K107" s="31"/>
      <c r="L107" s="31"/>
      <c r="M107" s="31"/>
      <c r="N107" s="31"/>
      <c r="O107" s="31"/>
      <c r="P107" s="79"/>
      <c r="Q107" s="31"/>
      <c r="R107" s="52"/>
      <c r="S107" s="52"/>
      <c r="T107" s="31"/>
      <c r="U107" s="31"/>
      <c r="V107" s="31"/>
      <c r="W107" s="31"/>
      <c r="X107" s="31"/>
      <c r="Y107" s="33"/>
    </row>
    <row r="108" spans="1:25">
      <c r="A108" s="188"/>
      <c r="B108" s="100" t="s">
        <v>5</v>
      </c>
      <c r="C108" s="55" t="s">
        <v>388</v>
      </c>
      <c r="D108" s="100" t="s">
        <v>239</v>
      </c>
      <c r="E108" s="100" t="s">
        <v>240</v>
      </c>
      <c r="F108" s="100" t="s">
        <v>241</v>
      </c>
      <c r="G108" s="100" t="s">
        <v>164</v>
      </c>
      <c r="H108" s="31"/>
      <c r="I108" s="31" t="s">
        <v>389</v>
      </c>
      <c r="J108" s="31"/>
      <c r="K108" s="31">
        <v>2</v>
      </c>
      <c r="L108" s="31">
        <v>2</v>
      </c>
      <c r="M108" s="31">
        <v>4</v>
      </c>
      <c r="N108" s="31">
        <v>2</v>
      </c>
      <c r="O108" s="31">
        <f t="shared" si="11"/>
        <v>32</v>
      </c>
      <c r="P108" s="79" t="str">
        <f t="shared" si="12"/>
        <v>TRIVAL</v>
      </c>
      <c r="Q108" s="31" t="str">
        <f t="shared" si="13"/>
        <v>YES</v>
      </c>
      <c r="R108" s="52"/>
      <c r="S108" s="52"/>
      <c r="T108" s="31"/>
      <c r="U108" s="31"/>
      <c r="V108" s="31"/>
      <c r="W108" s="31"/>
      <c r="X108" s="31"/>
      <c r="Y108" s="33"/>
    </row>
    <row r="109" spans="1:25" ht="38.25">
      <c r="A109" s="188" t="s">
        <v>160</v>
      </c>
      <c r="B109" s="100" t="s">
        <v>7</v>
      </c>
      <c r="C109" s="55" t="s">
        <v>335</v>
      </c>
      <c r="D109" s="100" t="s">
        <v>239</v>
      </c>
      <c r="E109" s="100" t="s">
        <v>240</v>
      </c>
      <c r="F109" s="100" t="s">
        <v>241</v>
      </c>
      <c r="G109" s="100" t="s">
        <v>164</v>
      </c>
      <c r="H109" s="31"/>
      <c r="I109" s="31" t="s">
        <v>390</v>
      </c>
      <c r="J109" s="31"/>
      <c r="K109" s="31">
        <v>2</v>
      </c>
      <c r="L109" s="31">
        <v>2</v>
      </c>
      <c r="M109" s="31">
        <v>2</v>
      </c>
      <c r="N109" s="31">
        <v>2</v>
      </c>
      <c r="O109" s="31">
        <f t="shared" si="11"/>
        <v>16</v>
      </c>
      <c r="P109" s="79" t="str">
        <f t="shared" si="12"/>
        <v>TRIVAL</v>
      </c>
      <c r="Q109" s="31" t="str">
        <f t="shared" si="13"/>
        <v>YES</v>
      </c>
      <c r="R109" s="52"/>
      <c r="S109" s="52"/>
      <c r="T109" s="31"/>
      <c r="U109" s="31"/>
      <c r="V109" s="31"/>
      <c r="W109" s="31"/>
      <c r="X109" s="31"/>
      <c r="Y109" s="33"/>
    </row>
    <row r="110" spans="1:25" ht="38.25">
      <c r="A110" s="192"/>
      <c r="B110" s="100" t="s">
        <v>5</v>
      </c>
      <c r="C110" s="55" t="s">
        <v>337</v>
      </c>
      <c r="D110" s="100" t="s">
        <v>239</v>
      </c>
      <c r="E110" s="100" t="s">
        <v>240</v>
      </c>
      <c r="F110" s="100" t="s">
        <v>241</v>
      </c>
      <c r="G110" s="100" t="s">
        <v>164</v>
      </c>
      <c r="H110" s="31"/>
      <c r="I110" s="31" t="s">
        <v>390</v>
      </c>
      <c r="J110" s="31"/>
      <c r="K110" s="31">
        <v>2</v>
      </c>
      <c r="L110" s="31">
        <v>2</v>
      </c>
      <c r="M110" s="31">
        <v>2</v>
      </c>
      <c r="N110" s="31">
        <v>2</v>
      </c>
      <c r="O110" s="31">
        <f t="shared" si="11"/>
        <v>16</v>
      </c>
      <c r="P110" s="79" t="str">
        <f t="shared" si="12"/>
        <v>TRIVAL</v>
      </c>
      <c r="Q110" s="31" t="str">
        <f t="shared" si="13"/>
        <v>YES</v>
      </c>
      <c r="R110" s="52"/>
      <c r="S110" s="52"/>
      <c r="T110" s="31"/>
      <c r="U110" s="31"/>
      <c r="V110" s="31"/>
      <c r="W110" s="31"/>
      <c r="X110" s="31"/>
      <c r="Y110" s="33"/>
    </row>
    <row r="111" spans="1:25" ht="38.25">
      <c r="A111" s="192"/>
      <c r="B111" s="100" t="s">
        <v>7</v>
      </c>
      <c r="C111" s="55" t="s">
        <v>391</v>
      </c>
      <c r="D111" s="100" t="s">
        <v>239</v>
      </c>
      <c r="E111" s="100" t="s">
        <v>240</v>
      </c>
      <c r="F111" s="100" t="s">
        <v>241</v>
      </c>
      <c r="G111" s="100" t="s">
        <v>164</v>
      </c>
      <c r="H111" s="31"/>
      <c r="I111" s="31" t="s">
        <v>390</v>
      </c>
      <c r="J111" s="31"/>
      <c r="K111" s="31">
        <v>2</v>
      </c>
      <c r="L111" s="31">
        <v>2</v>
      </c>
      <c r="M111" s="31">
        <v>2</v>
      </c>
      <c r="N111" s="31">
        <v>2</v>
      </c>
      <c r="O111" s="31">
        <f t="shared" si="11"/>
        <v>16</v>
      </c>
      <c r="P111" s="79" t="str">
        <f t="shared" si="12"/>
        <v>TRIVAL</v>
      </c>
      <c r="Q111" s="31" t="str">
        <f t="shared" si="13"/>
        <v>YES</v>
      </c>
      <c r="R111" s="52"/>
      <c r="S111" s="52"/>
      <c r="T111" s="31"/>
      <c r="U111" s="31"/>
      <c r="V111" s="31"/>
      <c r="W111" s="31"/>
      <c r="X111" s="31"/>
      <c r="Y111" s="33"/>
    </row>
    <row r="112" spans="1:25" ht="38.25">
      <c r="A112" s="192"/>
      <c r="B112" s="100" t="s">
        <v>7</v>
      </c>
      <c r="C112" s="55" t="s">
        <v>392</v>
      </c>
      <c r="D112" s="100" t="s">
        <v>239</v>
      </c>
      <c r="E112" s="100" t="s">
        <v>240</v>
      </c>
      <c r="F112" s="100" t="s">
        <v>241</v>
      </c>
      <c r="G112" s="100" t="s">
        <v>164</v>
      </c>
      <c r="H112" s="31"/>
      <c r="I112" s="31" t="s">
        <v>390</v>
      </c>
      <c r="J112" s="31"/>
      <c r="K112" s="31">
        <v>2</v>
      </c>
      <c r="L112" s="31">
        <v>2</v>
      </c>
      <c r="M112" s="31">
        <v>2</v>
      </c>
      <c r="N112" s="31">
        <v>2</v>
      </c>
      <c r="O112" s="31">
        <f t="shared" si="11"/>
        <v>16</v>
      </c>
      <c r="P112" s="79" t="str">
        <f t="shared" si="12"/>
        <v>TRIVAL</v>
      </c>
      <c r="Q112" s="31" t="str">
        <f t="shared" si="13"/>
        <v>YES</v>
      </c>
      <c r="R112" s="52"/>
      <c r="S112" s="52"/>
      <c r="T112" s="31"/>
      <c r="U112" s="31"/>
      <c r="V112" s="31"/>
      <c r="W112" s="31"/>
      <c r="X112" s="31"/>
      <c r="Y112" s="33"/>
    </row>
    <row r="113" spans="1:25" ht="25.5">
      <c r="A113" s="188" t="s">
        <v>161</v>
      </c>
      <c r="B113" s="100" t="s">
        <v>5</v>
      </c>
      <c r="C113" s="55" t="s">
        <v>393</v>
      </c>
      <c r="D113" s="100" t="s">
        <v>239</v>
      </c>
      <c r="E113" s="100" t="s">
        <v>240</v>
      </c>
      <c r="F113" s="100" t="s">
        <v>241</v>
      </c>
      <c r="G113" s="100" t="s">
        <v>164</v>
      </c>
      <c r="H113" s="31"/>
      <c r="I113" s="31" t="s">
        <v>394</v>
      </c>
      <c r="J113" s="31"/>
      <c r="K113" s="31">
        <v>2</v>
      </c>
      <c r="L113" s="31">
        <v>2</v>
      </c>
      <c r="M113" s="31">
        <v>2</v>
      </c>
      <c r="N113" s="31">
        <v>2</v>
      </c>
      <c r="O113" s="31">
        <f t="shared" si="11"/>
        <v>16</v>
      </c>
      <c r="P113" s="79" t="str">
        <f t="shared" si="12"/>
        <v>TRIVAL</v>
      </c>
      <c r="Q113" s="31" t="str">
        <f t="shared" si="13"/>
        <v>YES</v>
      </c>
      <c r="R113" s="52"/>
      <c r="S113" s="52"/>
      <c r="T113" s="31"/>
      <c r="U113" s="31"/>
      <c r="V113" s="31"/>
      <c r="W113" s="31"/>
      <c r="X113" s="31"/>
      <c r="Y113" s="33"/>
    </row>
    <row r="114" spans="1:25" ht="38.25">
      <c r="A114" s="192"/>
      <c r="B114" s="100" t="s">
        <v>5</v>
      </c>
      <c r="C114" s="55" t="s">
        <v>395</v>
      </c>
      <c r="D114" s="100" t="s">
        <v>239</v>
      </c>
      <c r="E114" s="100" t="s">
        <v>240</v>
      </c>
      <c r="F114" s="100" t="s">
        <v>241</v>
      </c>
      <c r="G114" s="100" t="s">
        <v>164</v>
      </c>
      <c r="H114" s="31"/>
      <c r="I114" s="31" t="s">
        <v>396</v>
      </c>
      <c r="J114" s="31"/>
      <c r="K114" s="31">
        <v>2</v>
      </c>
      <c r="L114" s="31">
        <v>2</v>
      </c>
      <c r="M114" s="31">
        <v>2</v>
      </c>
      <c r="N114" s="31">
        <v>2</v>
      </c>
      <c r="O114" s="31">
        <f t="shared" si="11"/>
        <v>16</v>
      </c>
      <c r="P114" s="79" t="str">
        <f t="shared" si="12"/>
        <v>TRIVAL</v>
      </c>
      <c r="Q114" s="31" t="str">
        <f t="shared" si="13"/>
        <v>YES</v>
      </c>
      <c r="R114" s="52"/>
      <c r="S114" s="52"/>
      <c r="T114" s="31"/>
      <c r="U114" s="31"/>
      <c r="V114" s="31"/>
      <c r="W114" s="31"/>
      <c r="X114" s="31"/>
      <c r="Y114" s="33"/>
    </row>
    <row r="115" spans="1:25" ht="63.75">
      <c r="A115" s="192"/>
      <c r="B115" s="100" t="s">
        <v>21</v>
      </c>
      <c r="C115" s="55" t="s">
        <v>397</v>
      </c>
      <c r="D115" s="100" t="s">
        <v>239</v>
      </c>
      <c r="E115" s="100" t="s">
        <v>240</v>
      </c>
      <c r="F115" s="100" t="s">
        <v>241</v>
      </c>
      <c r="G115" s="100" t="s">
        <v>164</v>
      </c>
      <c r="H115" s="31" t="s">
        <v>385</v>
      </c>
      <c r="I115" s="31" t="s">
        <v>398</v>
      </c>
      <c r="J115" s="31"/>
      <c r="K115" s="31">
        <v>4</v>
      </c>
      <c r="L115" s="31">
        <v>2</v>
      </c>
      <c r="M115" s="31">
        <v>2</v>
      </c>
      <c r="N115" s="31">
        <v>2</v>
      </c>
      <c r="O115" s="31">
        <f t="shared" si="11"/>
        <v>32</v>
      </c>
      <c r="P115" s="79" t="str">
        <f t="shared" si="12"/>
        <v>TRIVAL</v>
      </c>
      <c r="Q115" s="31" t="str">
        <f t="shared" si="13"/>
        <v>YES</v>
      </c>
      <c r="R115" s="52"/>
      <c r="S115" s="52"/>
      <c r="T115" s="31"/>
      <c r="U115" s="31"/>
      <c r="V115" s="31"/>
      <c r="W115" s="31"/>
      <c r="X115" s="31"/>
      <c r="Y115" s="33"/>
    </row>
    <row r="116" spans="1:25">
      <c r="A116" s="189" t="s">
        <v>163</v>
      </c>
      <c r="B116" s="100" t="s">
        <v>15</v>
      </c>
      <c r="C116" s="55" t="s">
        <v>399</v>
      </c>
      <c r="D116" s="100" t="s">
        <v>239</v>
      </c>
      <c r="E116" s="100" t="s">
        <v>400</v>
      </c>
      <c r="F116" s="100" t="s">
        <v>241</v>
      </c>
      <c r="G116" s="100" t="s">
        <v>164</v>
      </c>
      <c r="H116" s="52"/>
      <c r="I116" s="52" t="s">
        <v>401</v>
      </c>
      <c r="J116" s="52"/>
      <c r="K116" s="52"/>
      <c r="L116" s="52"/>
      <c r="M116" s="52"/>
      <c r="N116" s="52"/>
      <c r="O116" s="31"/>
      <c r="P116" s="79"/>
      <c r="Q116" s="31"/>
      <c r="R116" s="52"/>
      <c r="S116" s="52"/>
      <c r="T116" s="31"/>
      <c r="U116" s="31"/>
      <c r="V116" s="31"/>
      <c r="W116" s="31"/>
      <c r="X116" s="31"/>
      <c r="Y116" s="33"/>
    </row>
    <row r="117" spans="1:25">
      <c r="A117" s="190"/>
      <c r="B117" s="100" t="s">
        <v>7</v>
      </c>
      <c r="C117" s="55" t="s">
        <v>402</v>
      </c>
      <c r="D117" s="100" t="s">
        <v>239</v>
      </c>
      <c r="E117" s="100" t="s">
        <v>240</v>
      </c>
      <c r="F117" s="100" t="s">
        <v>241</v>
      </c>
      <c r="G117" s="100" t="s">
        <v>164</v>
      </c>
      <c r="H117" s="52"/>
      <c r="I117" s="52" t="s">
        <v>403</v>
      </c>
      <c r="J117" s="52"/>
      <c r="K117" s="52"/>
      <c r="L117" s="52"/>
      <c r="M117" s="52"/>
      <c r="N117" s="52"/>
      <c r="O117" s="31"/>
      <c r="P117" s="79"/>
      <c r="Q117" s="31"/>
      <c r="R117" s="52"/>
      <c r="S117" s="52"/>
      <c r="T117" s="31"/>
      <c r="U117" s="31"/>
      <c r="V117" s="31"/>
      <c r="W117" s="31"/>
      <c r="X117" s="31"/>
      <c r="Y117" s="33"/>
    </row>
    <row r="118" spans="1:25">
      <c r="A118" s="189" t="s">
        <v>166</v>
      </c>
      <c r="B118" s="100" t="s">
        <v>7</v>
      </c>
      <c r="C118" s="55" t="s">
        <v>404</v>
      </c>
      <c r="D118" s="100"/>
      <c r="E118" s="100"/>
      <c r="F118" s="100"/>
      <c r="G118" s="100"/>
      <c r="H118" s="52"/>
      <c r="I118" s="52" t="s">
        <v>405</v>
      </c>
      <c r="J118" s="52" t="s">
        <v>406</v>
      </c>
      <c r="K118" s="52"/>
      <c r="L118" s="52"/>
      <c r="M118" s="52"/>
      <c r="N118" s="52"/>
      <c r="O118" s="31"/>
      <c r="P118" s="79"/>
      <c r="Q118" s="31"/>
      <c r="R118" s="52"/>
      <c r="S118" s="52"/>
      <c r="T118" s="31"/>
      <c r="U118" s="31"/>
      <c r="V118" s="31"/>
      <c r="W118" s="31"/>
      <c r="X118" s="31"/>
      <c r="Y118" s="33"/>
    </row>
    <row r="119" spans="1:25">
      <c r="A119" s="191"/>
      <c r="B119" s="100" t="s">
        <v>7</v>
      </c>
      <c r="C119" s="55" t="s">
        <v>407</v>
      </c>
      <c r="D119" s="100" t="s">
        <v>239</v>
      </c>
      <c r="E119" s="100" t="s">
        <v>240</v>
      </c>
      <c r="F119" s="100" t="s">
        <v>241</v>
      </c>
      <c r="G119" s="100" t="s">
        <v>164</v>
      </c>
      <c r="H119" s="52"/>
      <c r="I119" s="52" t="s">
        <v>408</v>
      </c>
      <c r="J119" s="52"/>
      <c r="K119" s="52"/>
      <c r="L119" s="52"/>
      <c r="M119" s="52"/>
      <c r="N119" s="52"/>
      <c r="O119" s="31"/>
      <c r="P119" s="79"/>
      <c r="Q119" s="31"/>
      <c r="R119" s="52"/>
      <c r="S119" s="52"/>
      <c r="T119" s="31"/>
      <c r="U119" s="31"/>
      <c r="V119" s="31"/>
      <c r="W119" s="31"/>
      <c r="X119" s="31"/>
      <c r="Y119" s="33"/>
    </row>
    <row r="120" spans="1:25" ht="25.5">
      <c r="A120" s="189" t="s">
        <v>168</v>
      </c>
      <c r="B120" s="100" t="s">
        <v>13</v>
      </c>
      <c r="C120" s="55" t="s">
        <v>409</v>
      </c>
      <c r="D120" s="100" t="s">
        <v>239</v>
      </c>
      <c r="E120" s="100" t="s">
        <v>240</v>
      </c>
      <c r="F120" s="100" t="s">
        <v>241</v>
      </c>
      <c r="G120" s="100" t="s">
        <v>164</v>
      </c>
      <c r="H120" s="52"/>
      <c r="I120" s="52"/>
      <c r="J120" s="52" t="s">
        <v>410</v>
      </c>
      <c r="K120" s="52"/>
      <c r="L120" s="52"/>
      <c r="M120" s="52"/>
      <c r="N120" s="52"/>
      <c r="O120" s="31"/>
      <c r="P120" s="79"/>
      <c r="Q120" s="31"/>
      <c r="R120" s="52"/>
      <c r="S120" s="52"/>
      <c r="T120" s="31"/>
      <c r="U120" s="31"/>
      <c r="V120" s="31"/>
      <c r="W120" s="31"/>
      <c r="X120" s="31"/>
      <c r="Y120" s="33"/>
    </row>
    <row r="121" spans="1:25">
      <c r="A121" s="190"/>
      <c r="B121" s="100" t="s">
        <v>15</v>
      </c>
      <c r="C121" s="55" t="s">
        <v>411</v>
      </c>
      <c r="D121" s="100" t="s">
        <v>239</v>
      </c>
      <c r="E121" s="100" t="s">
        <v>240</v>
      </c>
      <c r="F121" s="100" t="s">
        <v>241</v>
      </c>
      <c r="G121" s="100" t="s">
        <v>164</v>
      </c>
      <c r="H121" s="52"/>
      <c r="I121" s="52" t="s">
        <v>412</v>
      </c>
      <c r="J121" s="52"/>
      <c r="K121" s="52"/>
      <c r="L121" s="52"/>
      <c r="M121" s="52"/>
      <c r="N121" s="52"/>
      <c r="O121" s="31"/>
      <c r="P121" s="79"/>
      <c r="Q121" s="31"/>
      <c r="R121" s="52"/>
      <c r="S121" s="52"/>
      <c r="T121" s="31"/>
      <c r="U121" s="31"/>
      <c r="V121" s="31"/>
      <c r="W121" s="31"/>
      <c r="X121" s="31"/>
      <c r="Y121" s="33"/>
    </row>
    <row r="122" spans="1:25">
      <c r="A122" s="191"/>
      <c r="B122" s="100" t="s">
        <v>7</v>
      </c>
      <c r="C122" s="55" t="s">
        <v>413</v>
      </c>
      <c r="D122" s="100" t="s">
        <v>239</v>
      </c>
      <c r="E122" s="100" t="s">
        <v>240</v>
      </c>
      <c r="F122" s="100" t="s">
        <v>241</v>
      </c>
      <c r="G122" s="100" t="s">
        <v>164</v>
      </c>
      <c r="H122" s="52"/>
      <c r="I122" s="52" t="s">
        <v>414</v>
      </c>
      <c r="J122" s="52"/>
      <c r="K122" s="52"/>
      <c r="L122" s="52"/>
      <c r="M122" s="52"/>
      <c r="N122" s="52"/>
      <c r="O122" s="31"/>
      <c r="P122" s="79"/>
      <c r="Q122" s="31"/>
      <c r="R122" s="52"/>
      <c r="S122" s="52"/>
      <c r="T122" s="31"/>
      <c r="U122" s="31"/>
      <c r="V122" s="31"/>
      <c r="W122" s="31"/>
      <c r="X122" s="31"/>
      <c r="Y122" s="33"/>
    </row>
    <row r="123" spans="1:25" ht="25.5">
      <c r="A123" s="189" t="s">
        <v>169</v>
      </c>
      <c r="B123" s="100" t="s">
        <v>25</v>
      </c>
      <c r="C123" s="55" t="s">
        <v>415</v>
      </c>
      <c r="D123" s="100" t="s">
        <v>239</v>
      </c>
      <c r="E123" s="100" t="s">
        <v>240</v>
      </c>
      <c r="F123" s="100" t="s">
        <v>241</v>
      </c>
      <c r="G123" s="100" t="s">
        <v>164</v>
      </c>
      <c r="H123" s="52"/>
      <c r="I123" s="52" t="s">
        <v>416</v>
      </c>
      <c r="J123" s="52"/>
      <c r="K123" s="52"/>
      <c r="L123" s="52"/>
      <c r="M123" s="52"/>
      <c r="N123" s="52"/>
      <c r="O123" s="31"/>
      <c r="P123" s="79"/>
      <c r="Q123" s="31"/>
      <c r="R123" s="52"/>
      <c r="S123" s="52"/>
      <c r="T123" s="31"/>
      <c r="U123" s="31"/>
      <c r="V123" s="31"/>
      <c r="W123" s="31"/>
      <c r="X123" s="31"/>
      <c r="Y123" s="33"/>
    </row>
    <row r="124" spans="1:25" ht="25.5">
      <c r="A124" s="190"/>
      <c r="B124" s="100" t="s">
        <v>25</v>
      </c>
      <c r="C124" s="55" t="s">
        <v>417</v>
      </c>
      <c r="D124" s="100" t="s">
        <v>239</v>
      </c>
      <c r="E124" s="100" t="s">
        <v>240</v>
      </c>
      <c r="F124" s="100" t="s">
        <v>241</v>
      </c>
      <c r="G124" s="100" t="s">
        <v>164</v>
      </c>
      <c r="H124" s="52"/>
      <c r="I124" s="52" t="s">
        <v>418</v>
      </c>
      <c r="J124" s="52"/>
      <c r="K124" s="52"/>
      <c r="L124" s="52"/>
      <c r="M124" s="52"/>
      <c r="N124" s="52"/>
      <c r="O124" s="31"/>
      <c r="P124" s="79"/>
      <c r="Q124" s="31"/>
      <c r="R124" s="52"/>
      <c r="S124" s="52"/>
      <c r="T124" s="31"/>
      <c r="U124" s="31"/>
      <c r="V124" s="31"/>
      <c r="W124" s="31"/>
      <c r="X124" s="31"/>
      <c r="Y124" s="33"/>
    </row>
    <row r="125" spans="1:25" ht="38.25">
      <c r="A125" s="190"/>
      <c r="B125" s="100" t="s">
        <v>11</v>
      </c>
      <c r="C125" s="55" t="s">
        <v>419</v>
      </c>
      <c r="D125" s="100" t="s">
        <v>239</v>
      </c>
      <c r="E125" s="100" t="s">
        <v>240</v>
      </c>
      <c r="F125" s="100" t="s">
        <v>241</v>
      </c>
      <c r="G125" s="100" t="s">
        <v>164</v>
      </c>
      <c r="H125" s="52"/>
      <c r="I125" s="52" t="s">
        <v>420</v>
      </c>
      <c r="J125" s="52"/>
      <c r="K125" s="52"/>
      <c r="L125" s="52"/>
      <c r="M125" s="52"/>
      <c r="N125" s="52"/>
      <c r="O125" s="31"/>
      <c r="P125" s="79"/>
      <c r="Q125" s="31"/>
      <c r="R125" s="52"/>
      <c r="S125" s="52"/>
      <c r="T125" s="31"/>
      <c r="U125" s="31"/>
      <c r="V125" s="31"/>
      <c r="W125" s="31"/>
      <c r="X125" s="31"/>
      <c r="Y125" s="33"/>
    </row>
    <row r="126" spans="1:25" ht="25.5">
      <c r="A126" s="191"/>
      <c r="B126" s="100" t="s">
        <v>25</v>
      </c>
      <c r="C126" s="55" t="s">
        <v>421</v>
      </c>
      <c r="D126" s="100" t="s">
        <v>239</v>
      </c>
      <c r="E126" s="100" t="s">
        <v>240</v>
      </c>
      <c r="F126" s="100" t="s">
        <v>241</v>
      </c>
      <c r="G126" s="100" t="s">
        <v>164</v>
      </c>
      <c r="H126" s="52"/>
      <c r="I126" s="52" t="s">
        <v>422</v>
      </c>
      <c r="J126" s="52"/>
      <c r="K126" s="52"/>
      <c r="L126" s="52"/>
      <c r="M126" s="52"/>
      <c r="N126" s="52"/>
      <c r="O126" s="31"/>
      <c r="P126" s="79"/>
      <c r="Q126" s="31"/>
      <c r="R126" s="52"/>
      <c r="S126" s="52"/>
      <c r="T126" s="31"/>
      <c r="U126" s="31"/>
      <c r="V126" s="31"/>
      <c r="W126" s="31"/>
      <c r="X126" s="31"/>
      <c r="Y126" s="33"/>
    </row>
    <row r="127" spans="1:25">
      <c r="A127" s="189" t="s">
        <v>171</v>
      </c>
      <c r="B127" s="100" t="s">
        <v>13</v>
      </c>
      <c r="C127" s="55" t="s">
        <v>423</v>
      </c>
      <c r="D127" s="100" t="s">
        <v>239</v>
      </c>
      <c r="E127" s="100" t="s">
        <v>240</v>
      </c>
      <c r="F127" s="100" t="s">
        <v>241</v>
      </c>
      <c r="G127" s="100" t="s">
        <v>164</v>
      </c>
      <c r="H127" s="31"/>
      <c r="I127" s="31" t="s">
        <v>252</v>
      </c>
      <c r="J127" s="31"/>
      <c r="K127" s="31">
        <v>2</v>
      </c>
      <c r="L127" s="31">
        <v>2</v>
      </c>
      <c r="M127" s="31">
        <v>4</v>
      </c>
      <c r="N127" s="31">
        <v>2</v>
      </c>
      <c r="O127" s="31">
        <f t="shared" ref="O127:O129" si="21">K127*L127*M127*N127</f>
        <v>32</v>
      </c>
      <c r="P127" s="79" t="str">
        <f t="shared" ref="P127:P129" si="22">IF(O127&lt;251,IF(O127&lt;131,IF(O127&lt;73,IF(O127&lt;37,IF(O127&lt;16,"","TRIVAL"),"TOLERABLE"),"MODERATE"),"SUBSTANTIAL"),"INTOLERABLE")</f>
        <v>TRIVAL</v>
      </c>
      <c r="Q127" s="31" t="str">
        <f t="shared" ref="Q127:Q129" si="23">IF(O127&gt;=16,IF(O127&gt;72,"NO","YES"),"")</f>
        <v>YES</v>
      </c>
      <c r="R127" s="52"/>
      <c r="S127" s="52"/>
      <c r="T127" s="31"/>
      <c r="U127" s="31"/>
      <c r="V127" s="31"/>
      <c r="W127" s="31"/>
      <c r="X127" s="31"/>
      <c r="Y127" s="33"/>
    </row>
    <row r="128" spans="1:25" ht="38.25">
      <c r="A128" s="190"/>
      <c r="B128" s="100" t="s">
        <v>11</v>
      </c>
      <c r="C128" s="55" t="s">
        <v>424</v>
      </c>
      <c r="D128" s="100" t="s">
        <v>239</v>
      </c>
      <c r="E128" s="100" t="s">
        <v>240</v>
      </c>
      <c r="F128" s="100" t="s">
        <v>241</v>
      </c>
      <c r="G128" s="100" t="s">
        <v>164</v>
      </c>
      <c r="H128" s="31"/>
      <c r="I128" s="31" t="s">
        <v>425</v>
      </c>
      <c r="J128" s="31"/>
      <c r="K128" s="31"/>
      <c r="L128" s="31"/>
      <c r="M128" s="31"/>
      <c r="N128" s="31"/>
      <c r="O128" s="31"/>
      <c r="P128" s="79"/>
      <c r="Q128" s="31"/>
      <c r="R128" s="52"/>
      <c r="S128" s="52"/>
      <c r="T128" s="31"/>
      <c r="U128" s="31"/>
      <c r="V128" s="31"/>
      <c r="W128" s="31"/>
      <c r="X128" s="31"/>
      <c r="Y128" s="33"/>
    </row>
    <row r="129" spans="1:25">
      <c r="A129" s="191"/>
      <c r="B129" s="100" t="s">
        <v>13</v>
      </c>
      <c r="C129" s="55" t="s">
        <v>426</v>
      </c>
      <c r="D129" s="100" t="s">
        <v>239</v>
      </c>
      <c r="E129" s="100" t="s">
        <v>240</v>
      </c>
      <c r="F129" s="100" t="s">
        <v>241</v>
      </c>
      <c r="G129" s="100" t="s">
        <v>164</v>
      </c>
      <c r="H129" s="31"/>
      <c r="I129" s="31" t="s">
        <v>427</v>
      </c>
      <c r="J129" s="31"/>
      <c r="K129" s="31">
        <v>2</v>
      </c>
      <c r="L129" s="31">
        <v>2</v>
      </c>
      <c r="M129" s="31">
        <v>2</v>
      </c>
      <c r="N129" s="31">
        <v>2</v>
      </c>
      <c r="O129" s="31">
        <f t="shared" si="21"/>
        <v>16</v>
      </c>
      <c r="P129" s="79" t="str">
        <f t="shared" si="22"/>
        <v>TRIVAL</v>
      </c>
      <c r="Q129" s="31" t="str">
        <f t="shared" si="23"/>
        <v>YES</v>
      </c>
      <c r="R129" s="52"/>
      <c r="S129" s="52"/>
      <c r="T129" s="31"/>
      <c r="U129" s="31"/>
      <c r="V129" s="31"/>
      <c r="W129" s="31"/>
      <c r="X129" s="31"/>
      <c r="Y129" s="33"/>
    </row>
    <row r="130" spans="1:25" ht="25.5">
      <c r="A130" s="94" t="s">
        <v>172</v>
      </c>
      <c r="B130" s="100" t="s">
        <v>13</v>
      </c>
      <c r="C130" s="55" t="s">
        <v>428</v>
      </c>
      <c r="D130" s="100" t="s">
        <v>239</v>
      </c>
      <c r="E130" s="100" t="s">
        <v>240</v>
      </c>
      <c r="F130" s="100" t="s">
        <v>241</v>
      </c>
      <c r="G130" s="100" t="s">
        <v>164</v>
      </c>
      <c r="H130" s="52"/>
      <c r="I130" s="52" t="s">
        <v>429</v>
      </c>
      <c r="J130" s="52"/>
      <c r="K130" s="52">
        <v>3</v>
      </c>
      <c r="L130" s="52">
        <v>2</v>
      </c>
      <c r="M130" s="52">
        <v>4</v>
      </c>
      <c r="N130" s="52">
        <v>2</v>
      </c>
      <c r="O130" s="31">
        <f t="shared" ref="O130:O132" si="24">K130*L130*M130*N130</f>
        <v>48</v>
      </c>
      <c r="P130" s="79" t="str">
        <f t="shared" ref="P130:P132" si="25">IF(O130&lt;251,IF(O130&lt;131,IF(O130&lt;73,IF(O130&lt;37,IF(O130&lt;16,"","TRIVAL"),"TOLERABLE"),"MODERATE"),"SUBSTANTIAL"),"INTOLERABLE")</f>
        <v>TOLERABLE</v>
      </c>
      <c r="Q130" s="31" t="str">
        <f t="shared" ref="Q130:Q132" si="26">IF(O130&gt;=16,IF(O130&gt;72,"NO","YES"),"")</f>
        <v>YES</v>
      </c>
      <c r="R130" s="52"/>
      <c r="S130" s="52"/>
      <c r="T130" s="31"/>
      <c r="U130" s="31"/>
      <c r="V130" s="31"/>
      <c r="W130" s="31"/>
      <c r="X130" s="31"/>
      <c r="Y130" s="33"/>
    </row>
    <row r="131" spans="1:25" ht="38.25">
      <c r="A131" s="94" t="s">
        <v>173</v>
      </c>
      <c r="B131" s="100" t="s">
        <v>13</v>
      </c>
      <c r="C131" s="55" t="s">
        <v>430</v>
      </c>
      <c r="D131" s="100" t="s">
        <v>239</v>
      </c>
      <c r="E131" s="100" t="s">
        <v>240</v>
      </c>
      <c r="F131" s="100" t="s">
        <v>241</v>
      </c>
      <c r="G131" s="100" t="s">
        <v>174</v>
      </c>
      <c r="H131" s="31"/>
      <c r="I131" s="69" t="s">
        <v>431</v>
      </c>
      <c r="J131" s="31" t="s">
        <v>432</v>
      </c>
      <c r="K131" s="31">
        <v>2</v>
      </c>
      <c r="L131" s="31">
        <v>2</v>
      </c>
      <c r="M131" s="31">
        <v>4</v>
      </c>
      <c r="N131" s="31">
        <v>2</v>
      </c>
      <c r="O131" s="31">
        <f t="shared" si="24"/>
        <v>32</v>
      </c>
      <c r="P131" s="79" t="str">
        <f t="shared" si="25"/>
        <v>TRIVAL</v>
      </c>
      <c r="Q131" s="31" t="str">
        <f t="shared" si="26"/>
        <v>YES</v>
      </c>
      <c r="R131" s="31"/>
      <c r="S131" s="31"/>
      <c r="T131" s="31"/>
      <c r="U131" s="31"/>
      <c r="V131" s="31"/>
      <c r="W131" s="31"/>
      <c r="X131" s="31">
        <f t="shared" ref="X131:X132" si="27">T131*U131*V131*W131</f>
        <v>0</v>
      </c>
      <c r="Y131" s="33" t="str">
        <f t="shared" ref="Y131" si="28">IF(X131&lt;251,IF(X131&lt;131,IF(X131&lt;73,IF(X131&lt;37,IF(X131&lt;16,"","TRIVAL"),"TOLERABLE"),"MODERATE"),"SUBSTANTIAL"),"INTOLERABLE")</f>
        <v/>
      </c>
    </row>
    <row r="132" spans="1:25" ht="25.5">
      <c r="A132" s="188" t="s">
        <v>175</v>
      </c>
      <c r="B132" s="100" t="s">
        <v>13</v>
      </c>
      <c r="C132" s="55" t="s">
        <v>433</v>
      </c>
      <c r="D132" s="100" t="s">
        <v>239</v>
      </c>
      <c r="E132" s="100" t="s">
        <v>240</v>
      </c>
      <c r="F132" s="100" t="s">
        <v>241</v>
      </c>
      <c r="G132" s="100" t="s">
        <v>164</v>
      </c>
      <c r="H132" s="31"/>
      <c r="I132" s="31" t="s">
        <v>434</v>
      </c>
      <c r="J132" s="31"/>
      <c r="K132" s="31">
        <v>3</v>
      </c>
      <c r="L132" s="31">
        <v>2</v>
      </c>
      <c r="M132" s="31">
        <v>2</v>
      </c>
      <c r="N132" s="31">
        <v>2</v>
      </c>
      <c r="O132" s="31">
        <f t="shared" si="24"/>
        <v>24</v>
      </c>
      <c r="P132" s="79" t="str">
        <f t="shared" si="25"/>
        <v>TRIVAL</v>
      </c>
      <c r="Q132" s="31" t="str">
        <f t="shared" si="26"/>
        <v>YES</v>
      </c>
      <c r="R132" s="52"/>
      <c r="S132" s="52"/>
      <c r="T132" s="31"/>
      <c r="U132" s="31"/>
      <c r="V132" s="31"/>
      <c r="W132" s="31"/>
      <c r="X132" s="31">
        <f t="shared" si="27"/>
        <v>0</v>
      </c>
      <c r="Y132" s="33"/>
    </row>
    <row r="133" spans="1:25" ht="25.5">
      <c r="A133" s="188"/>
      <c r="B133" s="100" t="s">
        <v>7</v>
      </c>
      <c r="C133" s="55" t="s">
        <v>435</v>
      </c>
      <c r="D133" s="100" t="s">
        <v>239</v>
      </c>
      <c r="E133" s="100" t="s">
        <v>240</v>
      </c>
      <c r="F133" s="100" t="s">
        <v>241</v>
      </c>
      <c r="G133" s="100" t="s">
        <v>164</v>
      </c>
      <c r="H133" s="31"/>
      <c r="I133" s="31" t="s">
        <v>436</v>
      </c>
      <c r="J133" s="31"/>
      <c r="K133" s="31">
        <v>3</v>
      </c>
      <c r="L133" s="31">
        <v>2</v>
      </c>
      <c r="M133" s="31">
        <v>2</v>
      </c>
      <c r="N133" s="31">
        <v>2</v>
      </c>
      <c r="O133" s="31">
        <f t="shared" ref="O133" si="29">K133*L133*M133*N133</f>
        <v>24</v>
      </c>
      <c r="P133" s="79" t="str">
        <f t="shared" ref="P133" si="30">IF(O133&lt;251,IF(O133&lt;131,IF(O133&lt;73,IF(O133&lt;37,IF(O133&lt;16,"","TRIVAL"),"TOLERABLE"),"MODERATE"),"SUBSTANTIAL"),"INTOLERABLE")</f>
        <v>TRIVAL</v>
      </c>
      <c r="Q133" s="31" t="str">
        <f t="shared" ref="Q133" si="31">IF(O133&gt;=16,IF(O133&gt;72,"NO","YES"),"")</f>
        <v>YES</v>
      </c>
      <c r="R133" s="52"/>
      <c r="S133" s="52"/>
      <c r="T133" s="31"/>
      <c r="U133" s="31"/>
      <c r="V133" s="31"/>
      <c r="W133" s="31"/>
      <c r="X133" s="31"/>
      <c r="Y133" s="33"/>
    </row>
    <row r="134" spans="1:25" ht="25.5">
      <c r="A134" s="95" t="s">
        <v>437</v>
      </c>
      <c r="B134" s="100" t="s">
        <v>29</v>
      </c>
      <c r="C134" s="55" t="s">
        <v>438</v>
      </c>
      <c r="D134" s="100" t="s">
        <v>239</v>
      </c>
      <c r="E134" s="100" t="s">
        <v>240</v>
      </c>
      <c r="F134" s="100" t="s">
        <v>241</v>
      </c>
      <c r="G134" s="100" t="s">
        <v>164</v>
      </c>
      <c r="H134" s="52"/>
      <c r="I134" s="52" t="s">
        <v>439</v>
      </c>
      <c r="J134" s="52"/>
      <c r="K134" s="52"/>
      <c r="L134" s="52"/>
      <c r="M134" s="52"/>
      <c r="N134" s="52"/>
      <c r="O134" s="31"/>
      <c r="P134" s="79"/>
      <c r="Q134" s="31"/>
      <c r="R134" s="52"/>
      <c r="S134" s="52"/>
      <c r="T134" s="31"/>
      <c r="U134" s="31"/>
      <c r="V134" s="31"/>
      <c r="W134" s="31"/>
      <c r="X134" s="31"/>
      <c r="Y134" s="33"/>
    </row>
    <row r="135" spans="1:25" ht="21">
      <c r="A135" s="54"/>
      <c r="B135" s="53"/>
      <c r="C135" s="53"/>
      <c r="D135" s="51"/>
      <c r="E135" s="51"/>
      <c r="F135" s="51"/>
      <c r="G135" s="51"/>
      <c r="H135" s="52"/>
      <c r="I135" s="52"/>
      <c r="J135" s="52"/>
      <c r="K135" s="52"/>
      <c r="L135" s="52"/>
      <c r="M135" s="52"/>
      <c r="N135" s="52"/>
      <c r="O135" s="31"/>
      <c r="P135" s="79"/>
      <c r="Q135" s="31"/>
      <c r="R135" s="52"/>
      <c r="S135" s="52"/>
      <c r="T135" s="31"/>
      <c r="U135" s="31"/>
      <c r="V135" s="31"/>
      <c r="W135" s="31"/>
      <c r="X135" s="31"/>
      <c r="Y135" s="33"/>
    </row>
    <row r="136" spans="1:25" ht="13.5" thickBot="1">
      <c r="A136" s="227" t="s">
        <v>440</v>
      </c>
      <c r="B136" s="228"/>
      <c r="C136" s="228"/>
      <c r="D136" s="228"/>
      <c r="E136" s="228"/>
      <c r="F136" s="228"/>
      <c r="G136" s="228"/>
      <c r="H136" s="228"/>
      <c r="I136" s="228"/>
      <c r="J136" s="228"/>
      <c r="K136" s="228"/>
      <c r="L136" s="228"/>
      <c r="M136" s="228"/>
      <c r="N136" s="228"/>
      <c r="O136" s="228"/>
      <c r="P136" s="228"/>
      <c r="Q136" s="228"/>
      <c r="R136" s="228"/>
      <c r="S136" s="228"/>
      <c r="T136" s="228"/>
      <c r="U136" s="228"/>
      <c r="V136" s="228"/>
      <c r="W136" s="228"/>
      <c r="X136" s="228"/>
      <c r="Y136" s="229"/>
    </row>
    <row r="137" spans="1:25">
      <c r="A137" s="96"/>
      <c r="B137" s="6"/>
      <c r="C137" s="6"/>
      <c r="D137" s="6"/>
      <c r="E137" s="6"/>
      <c r="F137" s="6"/>
      <c r="G137" s="6"/>
      <c r="H137" s="30"/>
      <c r="I137" s="8"/>
      <c r="J137" s="8"/>
      <c r="K137" s="8"/>
      <c r="L137" s="8"/>
      <c r="M137" s="8"/>
      <c r="N137" s="8"/>
      <c r="O137" s="8">
        <f t="shared" ref="O137:O142" si="32">K137*L137*M137*N137</f>
        <v>0</v>
      </c>
      <c r="P137" s="57" t="str">
        <f t="shared" ref="P137:P142" si="33">IF(O137&lt;251,IF(O137&lt;131,IF(O137&lt;73,IF(O137&lt;37,IF(O137&lt;16,"","TRIVAL"),"TOLERABLE"),"MODERATE"),"SUBSTANTIAL"),"INTOLERABLE")</f>
        <v/>
      </c>
      <c r="Q137" s="30" t="str">
        <f t="shared" ref="Q137:Q142" si="34">IF(O137&gt;16,IF(O137&gt;72,"YES","NO"),"")</f>
        <v/>
      </c>
      <c r="R137" s="30"/>
      <c r="S137" s="30"/>
      <c r="T137" s="30"/>
      <c r="U137" s="30"/>
      <c r="V137" s="30"/>
      <c r="W137" s="30"/>
      <c r="X137" s="30">
        <f t="shared" ref="X137:X142" si="35">T137*U137*V137*W137</f>
        <v>0</v>
      </c>
      <c r="Y137" s="32" t="str">
        <f t="shared" ref="Y137:Y142" si="36">IF(X137&lt;251,IF(X137&lt;131,IF(X137&lt;73,IF(X137&lt;37,IF(X137&lt;16,"","TRIVAL"),"TOLERABLE"),"MODERATE"),"SUBSTANTIAL"),"INTOLERABLE")</f>
        <v/>
      </c>
    </row>
    <row r="138" spans="1:25">
      <c r="A138" s="97"/>
      <c r="B138" s="100"/>
      <c r="C138" s="100"/>
      <c r="D138" s="100"/>
      <c r="E138" s="100"/>
      <c r="F138" s="100"/>
      <c r="G138" s="100"/>
      <c r="H138" s="31"/>
      <c r="I138" s="58"/>
      <c r="J138" s="58"/>
      <c r="K138" s="58"/>
      <c r="L138" s="58"/>
      <c r="M138" s="58"/>
      <c r="N138" s="58"/>
      <c r="O138" s="58">
        <f t="shared" si="32"/>
        <v>0</v>
      </c>
      <c r="P138" s="79" t="str">
        <f t="shared" si="33"/>
        <v/>
      </c>
      <c r="Q138" s="31" t="str">
        <f t="shared" si="34"/>
        <v/>
      </c>
      <c r="R138" s="31"/>
      <c r="S138" s="31"/>
      <c r="T138" s="31"/>
      <c r="U138" s="31"/>
      <c r="V138" s="31"/>
      <c r="W138" s="31"/>
      <c r="X138" s="31">
        <f t="shared" si="35"/>
        <v>0</v>
      </c>
      <c r="Y138" s="33" t="str">
        <f t="shared" si="36"/>
        <v/>
      </c>
    </row>
    <row r="139" spans="1:25">
      <c r="A139" s="97"/>
      <c r="B139" s="100"/>
      <c r="C139" s="100"/>
      <c r="D139" s="100"/>
      <c r="E139" s="100"/>
      <c r="F139" s="100"/>
      <c r="G139" s="100"/>
      <c r="H139" s="31"/>
      <c r="I139" s="58"/>
      <c r="J139" s="58"/>
      <c r="K139" s="58"/>
      <c r="L139" s="58"/>
      <c r="M139" s="58"/>
      <c r="N139" s="58"/>
      <c r="O139" s="58">
        <f t="shared" si="32"/>
        <v>0</v>
      </c>
      <c r="P139" s="79" t="str">
        <f t="shared" si="33"/>
        <v/>
      </c>
      <c r="Q139" s="31" t="str">
        <f t="shared" si="34"/>
        <v/>
      </c>
      <c r="R139" s="31"/>
      <c r="S139" s="31"/>
      <c r="T139" s="31"/>
      <c r="U139" s="31"/>
      <c r="V139" s="31"/>
      <c r="W139" s="31"/>
      <c r="X139" s="31">
        <f t="shared" si="35"/>
        <v>0</v>
      </c>
      <c r="Y139" s="33" t="str">
        <f t="shared" si="36"/>
        <v/>
      </c>
    </row>
    <row r="140" spans="1:25">
      <c r="A140" s="97"/>
      <c r="B140" s="100"/>
      <c r="C140" s="100"/>
      <c r="D140" s="100"/>
      <c r="E140" s="100"/>
      <c r="F140" s="100"/>
      <c r="G140" s="100"/>
      <c r="H140" s="31"/>
      <c r="I140" s="58"/>
      <c r="J140" s="58"/>
      <c r="K140" s="58"/>
      <c r="L140" s="58"/>
      <c r="M140" s="58"/>
      <c r="N140" s="58"/>
      <c r="O140" s="58">
        <f t="shared" si="32"/>
        <v>0</v>
      </c>
      <c r="P140" s="79" t="str">
        <f t="shared" si="33"/>
        <v/>
      </c>
      <c r="Q140" s="31" t="str">
        <f t="shared" si="34"/>
        <v/>
      </c>
      <c r="R140" s="31"/>
      <c r="S140" s="31"/>
      <c r="T140" s="31"/>
      <c r="U140" s="31"/>
      <c r="V140" s="31"/>
      <c r="W140" s="31"/>
      <c r="X140" s="31">
        <f t="shared" si="35"/>
        <v>0</v>
      </c>
      <c r="Y140" s="33" t="str">
        <f t="shared" si="36"/>
        <v/>
      </c>
    </row>
    <row r="141" spans="1:25">
      <c r="A141" s="97"/>
      <c r="B141" s="100"/>
      <c r="C141" s="100"/>
      <c r="D141" s="100"/>
      <c r="E141" s="100"/>
      <c r="F141" s="100"/>
      <c r="G141" s="100"/>
      <c r="H141" s="31"/>
      <c r="I141" s="58"/>
      <c r="J141" s="58"/>
      <c r="K141" s="58"/>
      <c r="L141" s="58"/>
      <c r="M141" s="58"/>
      <c r="N141" s="58"/>
      <c r="O141" s="58">
        <f t="shared" si="32"/>
        <v>0</v>
      </c>
      <c r="P141" s="79" t="str">
        <f t="shared" si="33"/>
        <v/>
      </c>
      <c r="Q141" s="31" t="str">
        <f t="shared" si="34"/>
        <v/>
      </c>
      <c r="R141" s="31"/>
      <c r="S141" s="31"/>
      <c r="T141" s="31"/>
      <c r="U141" s="31"/>
      <c r="V141" s="31"/>
      <c r="W141" s="31"/>
      <c r="X141" s="31">
        <f t="shared" si="35"/>
        <v>0</v>
      </c>
      <c r="Y141" s="33" t="str">
        <f t="shared" si="36"/>
        <v/>
      </c>
    </row>
    <row r="142" spans="1:25" ht="13.5" thickBot="1">
      <c r="A142" s="98"/>
      <c r="B142" s="101"/>
      <c r="C142" s="101"/>
      <c r="D142" s="101"/>
      <c r="E142" s="101"/>
      <c r="F142" s="101"/>
      <c r="G142" s="101"/>
      <c r="H142" s="34"/>
      <c r="I142" s="59"/>
      <c r="J142" s="59"/>
      <c r="K142" s="59"/>
      <c r="L142" s="59"/>
      <c r="M142" s="59"/>
      <c r="N142" s="59"/>
      <c r="O142" s="59">
        <f t="shared" si="32"/>
        <v>0</v>
      </c>
      <c r="P142" s="56" t="str">
        <f t="shared" si="33"/>
        <v/>
      </c>
      <c r="Q142" s="34" t="str">
        <f t="shared" si="34"/>
        <v/>
      </c>
      <c r="R142" s="34"/>
      <c r="S142" s="34"/>
      <c r="T142" s="34"/>
      <c r="U142" s="34"/>
      <c r="V142" s="34"/>
      <c r="W142" s="34"/>
      <c r="X142" s="34">
        <f t="shared" si="35"/>
        <v>0</v>
      </c>
      <c r="Y142" s="60" t="str">
        <f t="shared" si="36"/>
        <v/>
      </c>
    </row>
    <row r="143" spans="1:25" ht="16.5" thickBot="1">
      <c r="A143" s="230" t="s">
        <v>441</v>
      </c>
      <c r="B143" s="231"/>
      <c r="C143" s="231"/>
      <c r="D143" s="231"/>
      <c r="E143" s="231"/>
      <c r="F143" s="231"/>
      <c r="G143" s="231"/>
      <c r="H143" s="231"/>
      <c r="I143" s="231"/>
      <c r="J143" s="231"/>
      <c r="K143" s="231"/>
      <c r="L143" s="231"/>
      <c r="M143" s="231"/>
      <c r="N143" s="231"/>
      <c r="O143" s="231"/>
      <c r="P143" s="231"/>
      <c r="Q143" s="231"/>
      <c r="R143" s="231"/>
      <c r="S143" s="231"/>
      <c r="T143" s="231"/>
      <c r="U143" s="231"/>
      <c r="V143" s="231"/>
      <c r="W143" s="231"/>
      <c r="X143" s="231"/>
      <c r="Y143" s="232"/>
    </row>
    <row r="145" s="1" customFormat="1"/>
    <row r="146" s="1" customFormat="1"/>
    <row r="147" s="1" customFormat="1"/>
    <row r="148" s="1" customFormat="1"/>
    <row r="149" s="1" customFormat="1"/>
    <row r="150" s="1" customFormat="1"/>
    <row r="151" s="1" customFormat="1"/>
    <row r="152" s="1" customFormat="1"/>
    <row r="153" s="1" customFormat="1"/>
    <row r="154" s="1" customFormat="1"/>
    <row r="155" s="1" customFormat="1"/>
    <row r="156" s="1" customFormat="1"/>
    <row r="157" s="1" customFormat="1"/>
    <row r="158" s="1" customFormat="1"/>
    <row r="159" s="1" customFormat="1"/>
    <row r="160" s="1" customFormat="1"/>
    <row r="161" s="1" customFormat="1"/>
    <row r="162" s="1" customFormat="1"/>
  </sheetData>
  <autoFilter ref="B15:B115" xr:uid="{00000000-0009-0000-0000-000002000000}"/>
  <mergeCells count="67">
    <mergeCell ref="A136:Y136"/>
    <mergeCell ref="A143:Y143"/>
    <mergeCell ref="A109:A112"/>
    <mergeCell ref="A113:A115"/>
    <mergeCell ref="A15:A31"/>
    <mergeCell ref="A32:A36"/>
    <mergeCell ref="A37:A39"/>
    <mergeCell ref="A40:A43"/>
    <mergeCell ref="A44:A47"/>
    <mergeCell ref="A62:A69"/>
    <mergeCell ref="A70:A75"/>
    <mergeCell ref="A76:A81"/>
    <mergeCell ref="A82:A85"/>
    <mergeCell ref="A88:A99"/>
    <mergeCell ref="A48:A50"/>
    <mergeCell ref="A127:A129"/>
    <mergeCell ref="A14:Y14"/>
    <mergeCell ref="T10:Y10"/>
    <mergeCell ref="B11:B13"/>
    <mergeCell ref="C11:C13"/>
    <mergeCell ref="D11:D13"/>
    <mergeCell ref="E11:E13"/>
    <mergeCell ref="R11:R13"/>
    <mergeCell ref="T11:W11"/>
    <mergeCell ref="X11:X13"/>
    <mergeCell ref="Y11:Y13"/>
    <mergeCell ref="F12:F13"/>
    <mergeCell ref="G12:G13"/>
    <mergeCell ref="U12:W12"/>
    <mergeCell ref="S11:S13"/>
    <mergeCell ref="F11:G11"/>
    <mergeCell ref="H11:H13"/>
    <mergeCell ref="P11:P13"/>
    <mergeCell ref="Q11:Q13"/>
    <mergeCell ref="Q5:R5"/>
    <mergeCell ref="I12:I13"/>
    <mergeCell ref="J12:J13"/>
    <mergeCell ref="L12:N12"/>
    <mergeCell ref="O6:P6"/>
    <mergeCell ref="Q6:R6"/>
    <mergeCell ref="I11:J11"/>
    <mergeCell ref="K11:N11"/>
    <mergeCell ref="O11:O13"/>
    <mergeCell ref="A8:L8"/>
    <mergeCell ref="A10:A13"/>
    <mergeCell ref="C10:J10"/>
    <mergeCell ref="K10:P10"/>
    <mergeCell ref="O4:P4"/>
    <mergeCell ref="A5:D5"/>
    <mergeCell ref="E5:G5"/>
    <mergeCell ref="H5:L5"/>
    <mergeCell ref="A7:D7"/>
    <mergeCell ref="H7:L7"/>
    <mergeCell ref="A4:D4"/>
    <mergeCell ref="E4:G4"/>
    <mergeCell ref="H4:L4"/>
    <mergeCell ref="A6:D6"/>
    <mergeCell ref="H6:L6"/>
    <mergeCell ref="A132:A133"/>
    <mergeCell ref="A51:A61"/>
    <mergeCell ref="A123:A126"/>
    <mergeCell ref="A116:A117"/>
    <mergeCell ref="A118:A119"/>
    <mergeCell ref="A120:A122"/>
    <mergeCell ref="A86:A87"/>
    <mergeCell ref="A101:A103"/>
    <mergeCell ref="A104:A108"/>
  </mergeCells>
  <dataValidations count="13">
    <dataValidation type="list" allowBlank="1" showInputMessage="1" showErrorMessage="1" sqref="T137:W142 K137:N142 S98:V98 T15:W97 T99:W135 K15:N135" xr:uid="{00000000-0002-0000-0200-000000000000}">
      <formula1>"2,3,4,5"</formula1>
    </dataValidation>
    <dataValidation type="list" allowBlank="1" showInputMessage="1" showErrorMessage="1" sqref="I137:I142 I135" xr:uid="{00000000-0002-0000-0200-000001000000}">
      <formula1>"a,b,c,d,e"</formula1>
    </dataValidation>
    <dataValidation type="list" allowBlank="1" showInputMessage="1" showErrorMessage="1" sqref="H137:H142 H15:H135" xr:uid="{00000000-0002-0000-0200-000002000000}">
      <formula1>"LC,DC,E"</formula1>
    </dataValidation>
    <dataValidation type="list" allowBlank="1" showInputMessage="1" showErrorMessage="1" sqref="D137:D142 D132:D135" xr:uid="{00000000-0002-0000-0200-000003000000}">
      <formula1>"Emp,Public,Both"</formula1>
    </dataValidation>
    <dataValidation type="list" allowBlank="1" showInputMessage="1" showErrorMessage="1" sqref="E137:E142 E123:E130 E99:E121 E132:E135" xr:uid="{00000000-0002-0000-0200-000004000000}">
      <formula1>"Injury,ill health"</formula1>
    </dataValidation>
    <dataValidation type="list" allowBlank="1" showInputMessage="1" showErrorMessage="1" sqref="G137:G142 G123:G130 G99:G121 G132:G135" xr:uid="{00000000-0002-0000-0200-000005000000}">
      <formula1>"R,NR"</formula1>
    </dataValidation>
    <dataValidation type="list" allowBlank="1" showInputMessage="1" showErrorMessage="1" sqref="F137:F142 F123:F130 F99:F121 F132:F135" xr:uid="{00000000-0002-0000-0200-000006000000}">
      <formula1>"D,I"</formula1>
    </dataValidation>
    <dataValidation type="list" allowBlank="1" sqref="E131 E15:E98 E122" xr:uid="{00000000-0002-0000-0200-000007000000}">
      <formula1>"Injury,ill health"</formula1>
    </dataValidation>
    <dataValidation type="list" allowBlank="1" sqref="F131 F15:F98 F122" xr:uid="{00000000-0002-0000-0200-000008000000}">
      <formula1>"D,I"</formula1>
    </dataValidation>
    <dataValidation type="list" allowBlank="1" sqref="G131 G15:G98 G122" xr:uid="{00000000-0002-0000-0200-000009000000}">
      <formula1>"R,NR"</formula1>
    </dataValidation>
    <dataValidation type="list" allowBlank="1" sqref="D15:D131" xr:uid="{00000000-0002-0000-0200-00000A000000}">
      <formula1>"Emp,Public,Both"</formula1>
    </dataValidation>
    <dataValidation type="list" allowBlank="1" sqref="I15:I134" xr:uid="{00000000-0002-0000-0200-00000B000000}">
      <formula1>"a,b,c,d,e"</formula1>
    </dataValidation>
    <dataValidation type="list" allowBlank="1" showInputMessage="1" showErrorMessage="1" sqref="J132:J134" xr:uid="{00000000-0002-0000-0200-00000C000000}">
      <formula1>"Technological,Engineering,Operational,Training ,Competence,Monitoring,Safety Sinages,PPE"</formula1>
    </dataValidation>
  </dataValidations>
  <pageMargins left="0.7" right="0.7" top="0.75" bottom="0.75" header="0.3" footer="0.3"/>
  <pageSetup paperSize="8" scale="50" fitToHeight="0" orientation="landscape" horizontalDpi="300" verticalDpi="300" r:id="rId1"/>
  <headerFooter alignWithMargins="0">
    <oddHeader>&amp;L&amp;"Arial,Bold"Tata Motors Ltd, 
CVBU-Dharwad&amp;C&amp;"Arial,Bold"HAZARD IDENTIFICATION, RISK ASSESSMENT &amp; CONTROL MEASURES WORKSHEET</oddHeader>
    <oddFooter>&amp;LIssue No. 1; Revision 0, Effective Date: 07-07-15&amp;CPage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200-00000D000000}">
          <x14:formula1>
            <xm:f>'A1-A7'!$B$4:$B$19</xm:f>
          </x14:formula1>
          <xm:sqref>B131:B135 B15:B39</xm:sqref>
        </x14:dataValidation>
        <x14:dataValidation type="list" allowBlank="1" xr:uid="{00000000-0002-0000-0200-00000E000000}">
          <x14:formula1>
            <xm:f>'A1-A7'!$B$4:$B$19</xm:f>
          </x14:formula1>
          <xm:sqref>B40:B130</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1E23F178918C74598358D9E06AE7A79" ma:contentTypeVersion="7" ma:contentTypeDescription="Create a new document." ma:contentTypeScope="" ma:versionID="9e960774f936bbfb7d343931f0c6c10e">
  <xsd:schema xmlns:xsd="http://www.w3.org/2001/XMLSchema" xmlns:xs="http://www.w3.org/2001/XMLSchema" xmlns:p="http://schemas.microsoft.com/office/2006/metadata/properties" xmlns:ns2="e57441b5-8772-47ba-8f9d-6cd58313acce" xmlns:ns3="ab5bcf20-4021-4896-8de6-e02e43561d0c" targetNamespace="http://schemas.microsoft.com/office/2006/metadata/properties" ma:root="true" ma:fieldsID="3c2f74a56f52eb939f53c0e77dc89cbc" ns2:_="" ns3:_="">
    <xsd:import namespace="e57441b5-8772-47ba-8f9d-6cd58313acce"/>
    <xsd:import namespace="ab5bcf20-4021-4896-8de6-e02e43561d0c"/>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7441b5-8772-47ba-8f9d-6cd58313acce"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b5bcf20-4021-4896-8de6-e02e43561d0c"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39A36D2-902C-4255-802C-2491530E6450}"/>
</file>

<file path=customXml/itemProps2.xml><?xml version="1.0" encoding="utf-8"?>
<ds:datastoreItem xmlns:ds="http://schemas.openxmlformats.org/officeDocument/2006/customXml" ds:itemID="{414748BE-5C1E-4D3F-B496-7CC6B4D54EB0}"/>
</file>

<file path=customXml/itemProps3.xml><?xml version="1.0" encoding="utf-8"?>
<ds:datastoreItem xmlns:ds="http://schemas.openxmlformats.org/officeDocument/2006/customXml" ds:itemID="{8F550DC3-BC9C-4F55-A9CC-7545ABD0010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PRAVIN PADGAL [ CV-SAFETY , Pune CVBU ]</dc:creator>
  <cp:keywords/>
  <dc:description/>
  <cp:lastModifiedBy>PAVAN KULKARNI [ TMCV, Operations, Dharwad ]</cp:lastModifiedBy>
  <cp:revision/>
  <dcterms:created xsi:type="dcterms:W3CDTF">1996-10-14T23:33:28Z</dcterms:created>
  <dcterms:modified xsi:type="dcterms:W3CDTF">2024-03-06T06:22:56Z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0x010100B1E23F178918C74598358D9E06AE7A79</vt:lpwstr>
  </property>
</Properties>
</file>